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nore\Desktop\TFG\Grupo SEAR\Pruebas\"/>
    </mc:Choice>
  </mc:AlternateContent>
  <xr:revisionPtr revIDLastSave="0" documentId="13_ncr:1_{993C391F-8324-4657-B388-892A4636A142}" xr6:coauthVersionLast="47" xr6:coauthVersionMax="47" xr10:uidLastSave="{00000000-0000-0000-0000-000000000000}"/>
  <bookViews>
    <workbookView xWindow="-120" yWindow="-120" windowWidth="38640" windowHeight="21120" xr2:uid="{C1DBB96B-804E-4318-A40E-ED54B25B5020}"/>
  </bookViews>
  <sheets>
    <sheet name="Glosario" sheetId="7" r:id="rId1"/>
    <sheet name="REFERENCIAS_CT" sheetId="8" r:id="rId2"/>
    <sheet name="CT_CALCULO" sheetId="9" r:id="rId3"/>
    <sheet name="INPUT_PROYECTO" sheetId="2" r:id="rId4"/>
    <sheet name="CT_CHECKLIST" sheetId="3" r:id="rId5"/>
    <sheet name="PROBABILIDAD" sheetId="4" r:id="rId6"/>
    <sheet name="PARAMETROS" sheetId="5" r:id="rId7"/>
    <sheet name="CALCULO" sheetId="6" r:id="rId8"/>
    <sheet name="PORTAFOLIO" sheetId="10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0" i="7" l="1"/>
  <c r="Q37" i="7"/>
  <c r="Q38" i="7"/>
  <c r="Q39" i="7"/>
  <c r="Q41" i="7"/>
  <c r="Q42" i="7"/>
  <c r="Q43" i="7"/>
  <c r="Q44" i="7"/>
  <c r="Q45" i="7"/>
  <c r="Q46" i="7"/>
  <c r="Q47" i="7"/>
  <c r="Q48" i="7"/>
  <c r="Q36" i="7"/>
  <c r="M28" i="7"/>
  <c r="D2" i="8"/>
  <c r="D3" i="8"/>
  <c r="D4" i="8"/>
  <c r="D5" i="8"/>
  <c r="D6" i="8"/>
  <c r="B9" i="9"/>
  <c r="D9" i="9" s="1"/>
  <c r="B8" i="9"/>
  <c r="D8" i="9" s="1"/>
  <c r="B6" i="9"/>
  <c r="D6" i="9" s="1"/>
  <c r="B5" i="9"/>
  <c r="D5" i="9" s="1"/>
  <c r="B4" i="9"/>
  <c r="D4" i="9" s="1"/>
  <c r="B3" i="9"/>
  <c r="D3" i="9" s="1"/>
  <c r="B2" i="9"/>
  <c r="D2" i="9" s="1"/>
  <c r="C10" i="9"/>
  <c r="B24" i="7"/>
  <c r="F16" i="7"/>
  <c r="B20" i="7"/>
  <c r="B4" i="6"/>
  <c r="B5" i="6"/>
  <c r="B7" i="6"/>
  <c r="E3" i="4"/>
  <c r="E4" i="4"/>
  <c r="E5" i="4"/>
  <c r="AE27" i="3"/>
  <c r="E27" i="3" s="1"/>
  <c r="Q49" i="7" l="1"/>
  <c r="AE28" i="3"/>
  <c r="B7" i="9" s="1"/>
  <c r="D7" i="9" s="1"/>
  <c r="D10" i="9" s="1"/>
  <c r="B12" i="6" s="1"/>
  <c r="B13" i="6" s="1"/>
  <c r="E7" i="4"/>
  <c r="B3" i="6" s="1"/>
  <c r="B9" i="6"/>
  <c r="B11" i="6" s="1"/>
  <c r="B15" i="6" l="1"/>
  <c r="B1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tc={426D1323-BB63-4DB0-A3F0-6CBBCA92DBE7}</author>
    <author>tc={DA165C7A-958C-417C-9AAB-FE78C7E5C474}</author>
  </authors>
  <commentList>
    <comment ref="A4" authorId="0" shapeId="0" xr:uid="{426D1323-BB63-4DB0-A3F0-6CBBCA92DBE7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Índice de Prioridad permite ordenar oportunidades elegibles en función de su eficiencia relativa, mientras que la matriz CT×VEC actúa como un mecanismo de gobernanza que protege al sistema frente a decisiones operativamente riesgosas. La coexistencia de ambos indicadores garantiza que la priorización no optimice únicamente el rendimiento a corto plazo, sino que preserve la estabilidad técnica y organizacional del portafolio. </t>
      </text>
    </comment>
    <comment ref="F16" authorId="1" shapeId="0" xr:uid="{DA165C7A-958C-417C-9AAB-FE78C7E5C47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 partir de este valor es mejor contratar a otra persona.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tc={7583B073-BC53-4C78-9ABE-9F17A15679A6}</author>
  </authors>
  <commentList>
    <comment ref="B14" authorId="0" shapeId="0" xr:uid="{7583B073-BC53-4C78-9ABE-9F17A15679A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ecuación permite alejarse hasta un 30% del valor de To y permanecerá en OK.</t>
      </text>
    </comment>
  </commentList>
</comments>
</file>

<file path=xl/sharedStrings.xml><?xml version="1.0" encoding="utf-8"?>
<sst xmlns="http://schemas.openxmlformats.org/spreadsheetml/2006/main" count="152" uniqueCount="139">
  <si>
    <t>✔️</t>
  </si>
  <si>
    <t>Planeación fina</t>
  </si>
  <si>
    <t>Presión subjetiva</t>
  </si>
  <si>
    <t>Etapa temprana</t>
  </si>
  <si>
    <t>Proyecto único</t>
  </si>
  <si>
    <t>Buen histórico</t>
  </si>
  <si>
    <t>Proyecto repetitivo</t>
  </si>
  <si>
    <t>Usar saturación</t>
  </si>
  <si>
    <t>Usar horas</t>
  </si>
  <si>
    <t>Situación</t>
  </si>
  <si>
    <t>Nivel de saturación</t>
  </si>
  <si>
    <t>Horas estimadas para cotizar</t>
  </si>
  <si>
    <t>Margen esperado (%)</t>
  </si>
  <si>
    <t>Margen objetivo (%)</t>
  </si>
  <si>
    <t>Monto proyecto (USD)</t>
  </si>
  <si>
    <t>Cliente nuevo</t>
  </si>
  <si>
    <t>Cliente</t>
  </si>
  <si>
    <t>Data Center – Etapa 1</t>
  </si>
  <si>
    <t>Proyecto</t>
  </si>
  <si>
    <t>INPUT DEL PROYECTO</t>
  </si>
  <si>
    <t>Validación interna requerida</t>
  </si>
  <si>
    <t>Normativa compleja / múltiples autoridades</t>
  </si>
  <si>
    <t>Diseño ad-hoc</t>
  </si>
  <si>
    <t>Permisos especiales</t>
  </si>
  <si>
    <t>Ingeniería detallada</t>
  </si>
  <si>
    <t>Permisos estándar</t>
  </si>
  <si>
    <t>Ingeniería básica</t>
  </si>
  <si>
    <t>Sin permisos</t>
  </si>
  <si>
    <t>Sin ingeniería previa</t>
  </si>
  <si>
    <t>BLOQUE F – PERMISOS / NORMATIVA</t>
  </si>
  <si>
    <t>BLOQUE C – INGENIERÍA / VALIDACIÓN</t>
  </si>
  <si>
    <t>Interacción entre disciplinas</t>
  </si>
  <si>
    <t>Alta volatilidad de precios</t>
  </si>
  <si>
    <t>BMS</t>
  </si>
  <si>
    <t>Múltiples cotizaciones externas</t>
  </si>
  <si>
    <t>Críticos</t>
  </si>
  <si>
    <t>Servicios</t>
  </si>
  <si>
    <t>Varios subcontratos</t>
  </si>
  <si>
    <t>Civil</t>
  </si>
  <si>
    <t>Uno o dos subcontratos</t>
  </si>
  <si>
    <t>Electromecánico</t>
  </si>
  <si>
    <t>Sin subcontratos</t>
  </si>
  <si>
    <t>BLOQUE A – DISCIPLINAS</t>
  </si>
  <si>
    <t>BLOQUE E – SUBCONTRATOS</t>
  </si>
  <si>
    <t>Información dispersa / no organizada</t>
  </si>
  <si>
    <t>Cantidades dependientes / estimadas</t>
  </si>
  <si>
    <t>Sin referencias</t>
  </si>
  <si>
    <t>Muchas categorías de objetos</t>
  </si>
  <si>
    <t>Referencias parciales</t>
  </si>
  <si>
    <t>Varias categorías de objetos</t>
  </si>
  <si>
    <t>Referencias claras y recientes</t>
  </si>
  <si>
    <t>Pocas categorías de objetos</t>
  </si>
  <si>
    <t>BLOQUE G – EXPERIENCIA / REFERENCIAS</t>
  </si>
  <si>
    <t>BLOQUE D – CATEGORÍAS DE OBJETOS</t>
  </si>
  <si>
    <t>Abandono de otros proyectos</t>
  </si>
  <si>
    <t>Horas extra</t>
  </si>
  <si>
    <t>Dependiente de decisiones futuras</t>
  </si>
  <si>
    <t>Trabajo en paralelo</t>
  </si>
  <si>
    <t>Alcance pobre / ambiguo</t>
  </si>
  <si>
    <t>Plazo reducido no negociable</t>
  </si>
  <si>
    <t>Alcance parcialmente definido</t>
  </si>
  <si>
    <t>Plazo reducido negociable</t>
  </si>
  <si>
    <t>Alcance claro</t>
  </si>
  <si>
    <t>Plazo estándar</t>
  </si>
  <si>
    <t>BLOQUE B – ALCANCE</t>
  </si>
  <si>
    <t>BLOQUE H – URGENCIA</t>
  </si>
  <si>
    <t>COLUMNAS AUXILIARES PARA CHECKBOXES</t>
  </si>
  <si>
    <t>CHECKLIST COMPLEJIDAD TÉCNICA (CT)</t>
  </si>
  <si>
    <t>P</t>
  </si>
  <si>
    <t>E</t>
  </si>
  <si>
    <t>Alta</t>
  </si>
  <si>
    <t>Experiencia interna</t>
  </si>
  <si>
    <t>C</t>
  </si>
  <si>
    <t>Licitación privada</t>
  </si>
  <si>
    <t>Competencia</t>
  </si>
  <si>
    <t>R</t>
  </si>
  <si>
    <t>Buena</t>
  </si>
  <si>
    <t>Relación cliente</t>
  </si>
  <si>
    <t>PROBABILIDAD DE ADJUDICACIÓN</t>
  </si>
  <si>
    <t>Horas disponibles</t>
  </si>
  <si>
    <t>Monto máximo histórico</t>
  </si>
  <si>
    <t>Umbral POSTERGAR</t>
  </si>
  <si>
    <t>Umbral BID</t>
  </si>
  <si>
    <t>Alpha (sensibilidad)</t>
  </si>
  <si>
    <t>PARÁMETROS DEL MODELO</t>
  </si>
  <si>
    <t>DECISIÓN</t>
  </si>
  <si>
    <t>VEC</t>
  </si>
  <si>
    <t>Factor Capacidad F_C</t>
  </si>
  <si>
    <t>CT (1-5)</t>
  </si>
  <si>
    <t>Margen M</t>
  </si>
  <si>
    <t>Impacto I</t>
  </si>
  <si>
    <t>Probabilidad P</t>
  </si>
  <si>
    <t>RESULTADOS</t>
  </si>
  <si>
    <t>Valor esperado de cotizar</t>
  </si>
  <si>
    <t>¿En cuanto tiempo se puede saber la cantidad de tiempo que demandará un proyecto?</t>
  </si>
  <si>
    <t xml:space="preserve">¿Se puede hacer un checklist que </t>
  </si>
  <si>
    <t>Tₒ</t>
  </si>
  <si>
    <t>IP</t>
  </si>
  <si>
    <t>Índice de Prioridad</t>
  </si>
  <si>
    <t>Tiempo objetivo de cotización (Viene del valor medio del rango asignado de CT)</t>
  </si>
  <si>
    <t>¿Cuántas horas extra es correcto asumir cada semana?</t>
  </si>
  <si>
    <t>Normal</t>
  </si>
  <si>
    <t>Extra</t>
  </si>
  <si>
    <t>Horas</t>
  </si>
  <si>
    <t>Mes</t>
  </si>
  <si>
    <t>Cantidad de colaboradores</t>
  </si>
  <si>
    <t>Porcentaje</t>
  </si>
  <si>
    <t>Total de horas posibles al mes</t>
  </si>
  <si>
    <t>Cantidad de horas al mes por departamento</t>
  </si>
  <si>
    <t>Cantidad de horas extra al mes</t>
  </si>
  <si>
    <t>0,08 &lt; Medio &lt; 0,20</t>
  </si>
  <si>
    <t>Bajo &lt; 0,08</t>
  </si>
  <si>
    <t>0,02&lt;Alto</t>
  </si>
  <si>
    <t>Los proyectos primero se eligen con VEC, luego se validan con la matriz CTxVEC, y finalmente se priorizan con IP</t>
  </si>
  <si>
    <t>CT</t>
  </si>
  <si>
    <t>Horas mín</t>
  </si>
  <si>
    <t>Horas máx</t>
  </si>
  <si>
    <t>Tₒ (medio)</t>
  </si>
  <si>
    <t>Bloque</t>
  </si>
  <si>
    <t>Puntaje (0–1)</t>
  </si>
  <si>
    <t>Peso</t>
  </si>
  <si>
    <t>Aporte</t>
  </si>
  <si>
    <t>H</t>
  </si>
  <si>
    <t>B</t>
  </si>
  <si>
    <t>D</t>
  </si>
  <si>
    <t>G</t>
  </si>
  <si>
    <t>A</t>
  </si>
  <si>
    <t>F</t>
  </si>
  <si>
    <t>TOTAL</t>
  </si>
  <si>
    <t>Baja</t>
  </si>
  <si>
    <t>Project x</t>
  </si>
  <si>
    <t>100-200</t>
  </si>
  <si>
    <t>200-300</t>
  </si>
  <si>
    <t>Cantidad de horas por m2</t>
  </si>
  <si>
    <t>Factor de trabajo propio del sistema</t>
  </si>
  <si>
    <t>m2 por sistema</t>
  </si>
  <si>
    <t>Listado de sistemas (marcar los que el proyecto contempla</t>
  </si>
  <si>
    <t>Horas por m2</t>
  </si>
  <si>
    <t>Horas totales del sistema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</si>
</sst>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Calibri"/>
      <family val="2"/>
    </font>
    <font>
      <b/>
      <sz val="11"/>
      <color theme="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5D5D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31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0" fillId="3" borderId="11" xfId="0" applyFill="1" applyBorder="1"/>
    <xf numFmtId="0" fontId="2" fillId="2" borderId="12" xfId="0" applyFont="1" applyFill="1" applyBorder="1"/>
    <xf numFmtId="0" fontId="0" fillId="3" borderId="13" xfId="0" applyFill="1" applyBorder="1"/>
    <xf numFmtId="0" fontId="2" fillId="2" borderId="14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0" fillId="3" borderId="4" xfId="0" applyFill="1" applyBorder="1"/>
    <xf numFmtId="0" fontId="2" fillId="0" borderId="5" xfId="0" applyFont="1" applyBorder="1"/>
    <xf numFmtId="0" fontId="0" fillId="3" borderId="15" xfId="0" applyFill="1" applyBorder="1"/>
    <xf numFmtId="0" fontId="2" fillId="0" borderId="9" xfId="0" applyFont="1" applyBorder="1"/>
    <xf numFmtId="0" fontId="2" fillId="0" borderId="0" xfId="0" applyFont="1"/>
    <xf numFmtId="0" fontId="0" fillId="0" borderId="1" xfId="0" applyBorder="1"/>
    <xf numFmtId="0" fontId="0" fillId="4" borderId="3" xfId="0" applyFill="1" applyBorder="1"/>
    <xf numFmtId="0" fontId="0" fillId="0" borderId="16" xfId="0" applyBorder="1"/>
    <xf numFmtId="0" fontId="0" fillId="0" borderId="6" xfId="0" applyBorder="1"/>
    <xf numFmtId="0" fontId="0" fillId="5" borderId="3" xfId="0" applyFill="1" applyBorder="1"/>
    <xf numFmtId="0" fontId="0" fillId="5" borderId="6" xfId="0" applyFill="1" applyBorder="1"/>
    <xf numFmtId="0" fontId="0" fillId="0" borderId="8" xfId="0" applyBorder="1"/>
    <xf numFmtId="0" fontId="2" fillId="0" borderId="7" xfId="0" applyFont="1" applyBorder="1"/>
    <xf numFmtId="0" fontId="0" fillId="4" borderId="6" xfId="0" applyFill="1" applyBorder="1"/>
    <xf numFmtId="0" fontId="0" fillId="0" borderId="17" xfId="0" applyBorder="1"/>
    <xf numFmtId="0" fontId="0" fillId="5" borderId="18" xfId="0" applyFill="1" applyBorder="1"/>
    <xf numFmtId="0" fontId="0" fillId="5" borderId="19" xfId="0" applyFill="1" applyBorder="1"/>
    <xf numFmtId="0" fontId="0" fillId="6" borderId="20" xfId="0" applyFill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4" xfId="0" applyBorder="1"/>
    <xf numFmtId="0" fontId="0" fillId="0" borderId="5" xfId="0" applyBorder="1"/>
    <xf numFmtId="0" fontId="0" fillId="0" borderId="24" xfId="0" applyBorder="1"/>
    <xf numFmtId="0" fontId="0" fillId="7" borderId="1" xfId="0" applyFill="1" applyBorder="1"/>
    <xf numFmtId="0" fontId="2" fillId="0" borderId="3" xfId="0" applyFont="1" applyBorder="1"/>
    <xf numFmtId="0" fontId="0" fillId="7" borderId="4" xfId="0" applyFill="1" applyBorder="1"/>
    <xf numFmtId="0" fontId="2" fillId="0" borderId="25" xfId="0" applyFont="1" applyBorder="1"/>
    <xf numFmtId="0" fontId="0" fillId="7" borderId="15" xfId="0" applyFill="1" applyBorder="1"/>
    <xf numFmtId="0" fontId="2" fillId="0" borderId="26" xfId="0" applyFont="1" applyBorder="1"/>
    <xf numFmtId="0" fontId="0" fillId="0" borderId="0" xfId="0" applyAlignment="1">
      <alignment horizontal="center"/>
    </xf>
    <xf numFmtId="0" fontId="0" fillId="8" borderId="0" xfId="0" applyFill="1"/>
    <xf numFmtId="0" fontId="3" fillId="8" borderId="0" xfId="0" applyFont="1" applyFill="1"/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2" fontId="1" fillId="0" borderId="0" xfId="0" applyNumberFormat="1" applyFont="1" applyAlignment="1">
      <alignment vertical="center" wrapText="1"/>
    </xf>
    <xf numFmtId="0" fontId="0" fillId="0" borderId="7" xfId="0" applyBorder="1"/>
    <xf numFmtId="0" fontId="0" fillId="0" borderId="3" xfId="0" applyBorder="1"/>
    <xf numFmtId="0" fontId="0" fillId="9" borderId="0" xfId="0" applyFill="1"/>
    <xf numFmtId="0" fontId="0" fillId="0" borderId="0" xfId="0" applyAlignment="1">
      <alignment wrapText="1"/>
    </xf>
    <xf numFmtId="0" fontId="0" fillId="0" borderId="0" xfId="0" applyFill="1" applyBorder="1" applyAlignment="1">
      <alignment wrapText="1"/>
    </xf>
    <xf numFmtId="0" fontId="0" fillId="4" borderId="0" xfId="0" applyFill="1"/>
    <xf numFmtId="0" fontId="0" fillId="3" borderId="28" xfId="0" applyFill="1" applyBorder="1"/>
    <xf numFmtId="0" fontId="0" fillId="3" borderId="29" xfId="0" applyFill="1" applyBorder="1"/>
    <xf numFmtId="0" fontId="0" fillId="3" borderId="30" xfId="0" applyFill="1" applyBorder="1"/>
    <xf numFmtId="0" fontId="0" fillId="3" borderId="27" xfId="0" applyFill="1" applyBorder="1"/>
  </cellXfs>
  <cellStyles count="1">
    <cellStyle name="Normal" xfId="0" builtinId="0"/>
  </cellStyles>
  <dxfs count="3">
    <dxf>
      <fill>
        <patternFill patternType="darkTrellis">
          <fgColor rgb="FF92D050"/>
          <bgColor theme="0"/>
        </patternFill>
      </fill>
    </dxf>
    <dxf>
      <fill>
        <patternFill patternType="darkTrellis">
          <fgColor rgb="FFFFFF00"/>
          <bgColor theme="0"/>
        </patternFill>
      </fill>
    </dxf>
    <dxf>
      <fill>
        <patternFill patternType="darkTrellis">
          <fgColor rgb="FFFF0000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$Z$4" lockText="1" noThreeD="1"/>
</file>

<file path=xl/ctrlProps/ctrlProp2.xml><?xml version="1.0" encoding="utf-8"?>
<formControlPr xmlns="http://schemas.microsoft.com/office/spreadsheetml/2009/9/main" objectType="CheckBox" fmlaLink="$Z$5" lockText="1" noThreeD="1"/>
</file>

<file path=xl/ctrlProps/ctrlProp3.xml><?xml version="1.0" encoding="utf-8"?>
<formControlPr xmlns="http://schemas.microsoft.com/office/spreadsheetml/2009/9/main" objectType="CheckBox" checked="Checked" fmlaLink="$Z$6" lockText="1" noThreeD="1"/>
</file>

<file path=xl/ctrlProps/ctrlProp4.xml><?xml version="1.0" encoding="utf-8"?>
<formControlPr xmlns="http://schemas.microsoft.com/office/spreadsheetml/2009/9/main" objectType="CheckBox" fmlaLink="$Z$7" lockText="1" noThreeD="1"/>
</file>

<file path=xl/ctrlProps/ctrlProp5.xml><?xml version="1.0" encoding="utf-8"?>
<formControlPr xmlns="http://schemas.microsoft.com/office/spreadsheetml/2009/9/main" objectType="CheckBox" fmlaLink="$Z$8" lockText="1" noThreeD="1"/>
</file>

<file path=xl/ctrlProps/ctrlProp6.xml><?xml version="1.0" encoding="utf-8"?>
<formControlPr xmlns="http://schemas.microsoft.com/office/spreadsheetml/2009/9/main" objectType="CheckBox" fmlaLink="$Z$9" lockText="1" noThreeD="1"/>
</file>

<file path=xl/ctrlProps/ctrlProp7.xml><?xml version="1.0" encoding="utf-8"?>
<formControlPr xmlns="http://schemas.microsoft.com/office/spreadsheetml/2009/9/main" objectType="CheckBox" fmlaLink="$AB$14" lockText="1" noThreeD="1"/>
</file>

<file path=xl/ctrlProps/ctrlProp8.xml><?xml version="1.0" encoding="utf-8"?>
<formControlPr xmlns="http://schemas.microsoft.com/office/spreadsheetml/2009/9/main" objectType="CheckBox" fmlaLink="$AB$15" lockText="1" noThreeD="1"/>
</file>

<file path=xl/ctrlProps/ctrlProp9.xml><?xml version="1.0" encoding="utf-8"?>
<formControlPr xmlns="http://schemas.microsoft.com/office/spreadsheetml/2009/9/main" objectType="CheckBox" checked="Checked" fmlaLink="$AB$16" lockText="1" noThreeD="1"/>
</file>

<file path=xl/ctrlProps/ctrlProp10.xml><?xml version="1.0" encoding="utf-8"?>
<formControlPr xmlns="http://schemas.microsoft.com/office/spreadsheetml/2009/9/main" objectType="CheckBox" fmlaLink="$AB$17" lockText="1" noThreeD="1"/>
</file>

<file path=xl/ctrlProps/ctrlProp11.xml><?xml version="1.0" encoding="utf-8"?>
<formControlPr xmlns="http://schemas.microsoft.com/office/spreadsheetml/2009/9/main" objectType="CheckBox" checked="Checked" fmlaLink="$AD$21" lockText="1" noThreeD="1"/>
</file>

<file path=xl/ctrlProps/ctrlProp12.xml><?xml version="1.0" encoding="utf-8"?>
<formControlPr xmlns="http://schemas.microsoft.com/office/spreadsheetml/2009/9/main" objectType="CheckBox" fmlaLink="$AD$22" lockText="1" noThreeD="1"/>
</file>

<file path=xl/ctrlProps/ctrlProp13.xml><?xml version="1.0" encoding="utf-8"?>
<formControlPr xmlns="http://schemas.microsoft.com/office/spreadsheetml/2009/9/main" objectType="CheckBox" fmlaLink="$AD$23" lockText="1" noThreeD="1"/>
</file>

<file path=xl/ctrlProps/ctrlProp14.xml><?xml version="1.0" encoding="utf-8"?>
<formControlPr xmlns="http://schemas.microsoft.com/office/spreadsheetml/2009/9/main" objectType="CheckBox" fmlaLink="$AD$24" lockText="1" noThreeD="1"/>
</file>

<file path=xl/ctrlProps/ctrlProp15.xml><?xml version="1.0" encoding="utf-8"?>
<formControlPr xmlns="http://schemas.microsoft.com/office/spreadsheetml/2009/9/main" objectType="CheckBox" fmlaLink="$AD$25" lockText="1" noThreeD="1"/>
</file>

<file path=xl/ctrlProps/ctrlProp16.xml><?xml version="1.0" encoding="utf-8"?>
<formControlPr xmlns="http://schemas.microsoft.com/office/spreadsheetml/2009/9/main" objectType="CheckBox" fmlaLink="$AF$29" lockText="1" noThreeD="1"/>
</file>

<file path=xl/ctrlProps/ctrlProp17.xml><?xml version="1.0" encoding="utf-8"?>
<formControlPr xmlns="http://schemas.microsoft.com/office/spreadsheetml/2009/9/main" objectType="CheckBox" fmlaLink="$AF$30" lockText="1" noThreeD="1"/>
</file>

<file path=xl/ctrlProps/ctrlProp18.xml><?xml version="1.0" encoding="utf-8"?>
<formControlPr xmlns="http://schemas.microsoft.com/office/spreadsheetml/2009/9/main" objectType="CheckBox" fmlaLink="$AF$31" lockText="1" noThreeD="1"/>
</file>

<file path=xl/ctrlProps/ctrlProp19.xml><?xml version="1.0" encoding="utf-8"?>
<formControlPr xmlns="http://schemas.microsoft.com/office/spreadsheetml/2009/9/main" objectType="CheckBox" checked="Checked" fmlaLink="$AF$32" lockText="1" noThreeD="1"/>
</file>

<file path=xl/ctrlProps/ctrlProp20.xml><?xml version="1.0" encoding="utf-8"?>
<formControlPr xmlns="http://schemas.microsoft.com/office/spreadsheetml/2009/9/main" objectType="CheckBox" fmlaLink="$AF$33" lockText="1" noThreeD="1"/>
</file>

<file path=xl/ctrlProps/ctrlProp21.xml><?xml version="1.0" encoding="utf-8"?>
<formControlPr xmlns="http://schemas.microsoft.com/office/spreadsheetml/2009/9/main" objectType="CheckBox" fmlaLink="$AA$4" lockText="1" noThreeD="1"/>
</file>

<file path=xl/ctrlProps/ctrlProp22.xml><?xml version="1.0" encoding="utf-8"?>
<formControlPr xmlns="http://schemas.microsoft.com/office/spreadsheetml/2009/9/main" objectType="CheckBox" fmlaLink="$AA$5" lockText="1" noThreeD="1"/>
</file>

<file path=xl/ctrlProps/ctrlProp23.xml><?xml version="1.0" encoding="utf-8"?>
<formControlPr xmlns="http://schemas.microsoft.com/office/spreadsheetml/2009/9/main" objectType="CheckBox" checked="Checked" fmlaLink="$AA$6" lockText="1" noThreeD="1"/>
</file>

<file path=xl/ctrlProps/ctrlProp24.xml><?xml version="1.0" encoding="utf-8"?>
<formControlPr xmlns="http://schemas.microsoft.com/office/spreadsheetml/2009/9/main" objectType="CheckBox" fmlaLink="$AA$7" lockText="1" noThreeD="1"/>
</file>

<file path=xl/ctrlProps/ctrlProp25.xml><?xml version="1.0" encoding="utf-8"?>
<formControlPr xmlns="http://schemas.microsoft.com/office/spreadsheetml/2009/9/main" objectType="CheckBox" fmlaLink="$AC$14" lockText="1" noThreeD="1"/>
</file>

<file path=xl/ctrlProps/ctrlProp26.xml><?xml version="1.0" encoding="utf-8"?>
<formControlPr xmlns="http://schemas.microsoft.com/office/spreadsheetml/2009/9/main" objectType="CheckBox" fmlaLink="$AC$15" lockText="1" noThreeD="1"/>
</file>

<file path=xl/ctrlProps/ctrlProp27.xml><?xml version="1.0" encoding="utf-8"?>
<formControlPr xmlns="http://schemas.microsoft.com/office/spreadsheetml/2009/9/main" objectType="CheckBox" checked="Checked" fmlaLink="$AC$16" lockText="1" noThreeD="1"/>
</file>

<file path=xl/ctrlProps/ctrlProp28.xml><?xml version="1.0" encoding="utf-8"?>
<formControlPr xmlns="http://schemas.microsoft.com/office/spreadsheetml/2009/9/main" objectType="CheckBox" fmlaLink="$AC$17" lockText="1" noThreeD="1"/>
</file>

<file path=xl/ctrlProps/ctrlProp29.xml><?xml version="1.0" encoding="utf-8"?>
<formControlPr xmlns="http://schemas.microsoft.com/office/spreadsheetml/2009/9/main" objectType="CheckBox" checked="Checked" fmlaLink="$AE$21" lockText="1" noThreeD="1"/>
</file>

<file path=xl/ctrlProps/ctrlProp30.xml><?xml version="1.0" encoding="utf-8"?>
<formControlPr xmlns="http://schemas.microsoft.com/office/spreadsheetml/2009/9/main" objectType="CheckBox" checked="Checked" fmlaLink="$AE$22" lockText="1" noThreeD="1"/>
</file>

<file path=xl/ctrlProps/ctrlProp31.xml><?xml version="1.0" encoding="utf-8"?>
<formControlPr xmlns="http://schemas.microsoft.com/office/spreadsheetml/2009/9/main" objectType="CheckBox" checked="Checked" fmlaLink="$AE$23" lockText="1" noThreeD="1"/>
</file>

<file path=xl/ctrlProps/ctrlProp32.xml><?xml version="1.0" encoding="utf-8"?>
<formControlPr xmlns="http://schemas.microsoft.com/office/spreadsheetml/2009/9/main" objectType="CheckBox" checked="Checked" fmlaLink="$AE$24" lockText="1" noThreeD="1"/>
</file>

<file path=xl/ctrlProps/ctrlProp33.xml><?xml version="1.0" encoding="utf-8"?>
<formControlPr xmlns="http://schemas.microsoft.com/office/spreadsheetml/2009/9/main" objectType="CheckBox" checked="Checked" fmlaLink="$AE$25" lockText="1" noThreeD="1"/>
</file>

<file path=xl/ctrlProps/ctrlProp34.xml><?xml version="1.0" encoding="utf-8"?>
<formControlPr xmlns="http://schemas.microsoft.com/office/spreadsheetml/2009/9/main" objectType="CheckBox" checked="Checked" fmlaLink="$AG$29" lockText="1" noThreeD="1"/>
</file>

<file path=xl/ctrlProps/ctrlProp35.xml><?xml version="1.0" encoding="utf-8"?>
<formControlPr xmlns="http://schemas.microsoft.com/office/spreadsheetml/2009/9/main" objectType="CheckBox" fmlaLink="$AG$30" lockText="1" noThreeD="1"/>
</file>

<file path=xl/ctrlProps/ctrlProp36.xml><?xml version="1.0" encoding="utf-8"?>
<formControlPr xmlns="http://schemas.microsoft.com/office/spreadsheetml/2009/9/main" objectType="CheckBox" fmlaLink="$AG$31" lockText="1" noThreeD="1"/>
</file>

<file path=xl/ctrlProps/ctrlProp37.xml><?xml version="1.0" encoding="utf-8"?>
<formControlPr xmlns="http://schemas.microsoft.com/office/spreadsheetml/2009/9/main" objectType="CheckBox" fmlaLink="$AG$3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457200</xdr:colOff>
      <xdr:row>0</xdr:row>
      <xdr:rowOff>0</xdr:rowOff>
    </xdr:from>
    <xdr:to>
      <xdr:col>17</xdr:col>
      <xdr:colOff>448525</xdr:colOff>
      <xdr:row>12</xdr:row>
      <xdr:rowOff>162267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8F8F95A-3CEB-E753-50E6-0A2301750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0"/>
          <a:ext cx="6087325" cy="2448267"/>
        </a:xfrm>
        <a:prstGeom prst="rect">
          <a:avLst/>
        </a:prstGeom>
      </xdr:spPr>
    </xdr:pic>
    <xdr:clientData/>
  </xdr:twoCellAnchor>
  <xdr:twoCellAnchor editAs="oneCell">
    <xdr:from>
      <xdr:col>18</xdr:col>
      <xdr:colOff>485775</xdr:colOff>
      <xdr:row>0</xdr:row>
      <xdr:rowOff>0</xdr:rowOff>
    </xdr:from>
    <xdr:to>
      <xdr:col>24</xdr:col>
      <xdr:colOff>228600</xdr:colOff>
      <xdr:row>12</xdr:row>
      <xdr:rowOff>148470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16040D-243F-77A1-BEC8-EE773587A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39775" y="0"/>
          <a:ext cx="4314825" cy="2434470"/>
        </a:xfrm>
        <a:prstGeom prst="rect">
          <a:avLst/>
        </a:prstGeom>
      </xdr:spPr>
    </xdr:pic>
    <xdr:clientData/>
  </xdr:twoCellAnchor>
  <xdr:twoCellAnchor editAs="oneCell">
    <xdr:from>
      <xdr:col>0</xdr:col>
      <xdr:colOff>333375</xdr:colOff>
      <xdr:row>24</xdr:row>
      <xdr:rowOff>85725</xdr:rowOff>
    </xdr:from>
    <xdr:to>
      <xdr:col>8</xdr:col>
      <xdr:colOff>334226</xdr:colOff>
      <xdr:row>32</xdr:row>
      <xdr:rowOff>171676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6DECF24-CA6C-0AE7-4034-D64A7D8A8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3375" y="4657725"/>
          <a:ext cx="6096851" cy="1619476"/>
        </a:xfrm>
        <a:prstGeom prst="rect">
          <a:avLst/>
        </a:prstGeom>
      </xdr:spPr>
    </xdr:pic>
    <xdr:clientData/>
  </xdr:twoCellAnchor>
  <xdr:twoCellAnchor editAs="oneCell">
    <xdr:from>
      <xdr:col>24</xdr:col>
      <xdr:colOff>276224</xdr:colOff>
      <xdr:row>0</xdr:row>
      <xdr:rowOff>1</xdr:rowOff>
    </xdr:from>
    <xdr:to>
      <xdr:col>30</xdr:col>
      <xdr:colOff>581026</xdr:colOff>
      <xdr:row>12</xdr:row>
      <xdr:rowOff>157065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149464E2-B800-B4A5-9AA9-4F1D50D08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802224" y="1"/>
          <a:ext cx="4876802" cy="244306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14</xdr:row>
      <xdr:rowOff>123825</xdr:rowOff>
    </xdr:from>
    <xdr:to>
      <xdr:col>26</xdr:col>
      <xdr:colOff>486472</xdr:colOff>
      <xdr:row>27</xdr:row>
      <xdr:rowOff>28907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93BD417-AD5D-3600-D499-CF9762302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544675" y="2790825"/>
          <a:ext cx="4991797" cy="2381582"/>
        </a:xfrm>
        <a:prstGeom prst="rect">
          <a:avLst/>
        </a:prstGeom>
      </xdr:spPr>
    </xdr:pic>
    <xdr:clientData/>
  </xdr:twoCellAnchor>
  <xdr:twoCellAnchor>
    <xdr:from>
      <xdr:col>15</xdr:col>
      <xdr:colOff>666750</xdr:colOff>
      <xdr:row>34</xdr:row>
      <xdr:rowOff>47625</xdr:rowOff>
    </xdr:from>
    <xdr:to>
      <xdr:col>15</xdr:col>
      <xdr:colOff>666750</xdr:colOff>
      <xdr:row>34</xdr:row>
      <xdr:rowOff>1114425</xdr:rowOff>
    </xdr:to>
    <xdr:cxnSp macro="">
      <xdr:nvCxnSpPr>
        <xdr:cNvPr id="8" name="Conector recto de flecha 7">
          <a:extLst>
            <a:ext uri="{FF2B5EF4-FFF2-40B4-BE49-F238E27FC236}">
              <a16:creationId xmlns:a16="http://schemas.microsoft.com/office/drawing/2014/main" id="{FF87892B-A677-A0CF-3F54-EC64460F4828}"/>
            </a:ext>
          </a:extLst>
        </xdr:cNvPr>
        <xdr:cNvCxnSpPr/>
      </xdr:nvCxnSpPr>
      <xdr:spPr>
        <a:xfrm>
          <a:off x="12096750" y="6543675"/>
          <a:ext cx="0" cy="10668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600075</xdr:colOff>
      <xdr:row>34</xdr:row>
      <xdr:rowOff>57150</xdr:rowOff>
    </xdr:from>
    <xdr:to>
      <xdr:col>14</xdr:col>
      <xdr:colOff>609600</xdr:colOff>
      <xdr:row>34</xdr:row>
      <xdr:rowOff>1028700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FBEDD016-C506-4A70-8423-08C8C1C1D90F}"/>
            </a:ext>
          </a:extLst>
        </xdr:cNvPr>
        <xdr:cNvCxnSpPr/>
      </xdr:nvCxnSpPr>
      <xdr:spPr>
        <a:xfrm flipV="1">
          <a:off x="11268075" y="6553200"/>
          <a:ext cx="9525" cy="97155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3</xdr:row>
          <xdr:rowOff>0</xdr:rowOff>
        </xdr:from>
        <xdr:to>
          <xdr:col>1</xdr:col>
          <xdr:colOff>600075</xdr:colOff>
          <xdr:row>4</xdr:row>
          <xdr:rowOff>9525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3</xdr:row>
          <xdr:rowOff>190500</xdr:rowOff>
        </xdr:from>
        <xdr:to>
          <xdr:col>1</xdr:col>
          <xdr:colOff>600075</xdr:colOff>
          <xdr:row>5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5</xdr:row>
          <xdr:rowOff>0</xdr:rowOff>
        </xdr:from>
        <xdr:to>
          <xdr:col>1</xdr:col>
          <xdr:colOff>600075</xdr:colOff>
          <xdr:row>6</xdr:row>
          <xdr:rowOff>9525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7</xdr:row>
          <xdr:rowOff>9525</xdr:rowOff>
        </xdr:from>
        <xdr:to>
          <xdr:col>1</xdr:col>
          <xdr:colOff>600075</xdr:colOff>
          <xdr:row>8</xdr:row>
          <xdr:rowOff>9525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8</xdr:row>
          <xdr:rowOff>0</xdr:rowOff>
        </xdr:from>
        <xdr:to>
          <xdr:col>1</xdr:col>
          <xdr:colOff>600075</xdr:colOff>
          <xdr:row>9</xdr:row>
          <xdr:rowOff>9525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9</xdr:row>
          <xdr:rowOff>0</xdr:rowOff>
        </xdr:from>
        <xdr:to>
          <xdr:col>1</xdr:col>
          <xdr:colOff>600075</xdr:colOff>
          <xdr:row>10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13</xdr:row>
          <xdr:rowOff>0</xdr:rowOff>
        </xdr:from>
        <xdr:to>
          <xdr:col>1</xdr:col>
          <xdr:colOff>600075</xdr:colOff>
          <xdr:row>14</xdr:row>
          <xdr:rowOff>9525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14</xdr:row>
          <xdr:rowOff>0</xdr:rowOff>
        </xdr:from>
        <xdr:to>
          <xdr:col>1</xdr:col>
          <xdr:colOff>600075</xdr:colOff>
          <xdr:row>15</xdr:row>
          <xdr:rowOff>9525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4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15</xdr:row>
          <xdr:rowOff>0</xdr:rowOff>
        </xdr:from>
        <xdr:to>
          <xdr:col>1</xdr:col>
          <xdr:colOff>600075</xdr:colOff>
          <xdr:row>16</xdr:row>
          <xdr:rowOff>9525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9525</xdr:rowOff>
        </xdr:from>
        <xdr:to>
          <xdr:col>1</xdr:col>
          <xdr:colOff>590550</xdr:colOff>
          <xdr:row>18</xdr:row>
          <xdr:rowOff>9525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19</xdr:row>
          <xdr:rowOff>180975</xdr:rowOff>
        </xdr:from>
        <xdr:to>
          <xdr:col>1</xdr:col>
          <xdr:colOff>600075</xdr:colOff>
          <xdr:row>21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4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20</xdr:row>
          <xdr:rowOff>180975</xdr:rowOff>
        </xdr:from>
        <xdr:to>
          <xdr:col>1</xdr:col>
          <xdr:colOff>600075</xdr:colOff>
          <xdr:row>22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4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21</xdr:row>
          <xdr:rowOff>180975</xdr:rowOff>
        </xdr:from>
        <xdr:to>
          <xdr:col>1</xdr:col>
          <xdr:colOff>600075</xdr:colOff>
          <xdr:row>23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4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1</xdr:col>
          <xdr:colOff>590550</xdr:colOff>
          <xdr:row>25</xdr:row>
          <xdr:rowOff>9525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4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1</xdr:col>
          <xdr:colOff>590550</xdr:colOff>
          <xdr:row>26</xdr:row>
          <xdr:rowOff>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28</xdr:row>
          <xdr:rowOff>0</xdr:rowOff>
        </xdr:from>
        <xdr:to>
          <xdr:col>1</xdr:col>
          <xdr:colOff>600075</xdr:colOff>
          <xdr:row>29</xdr:row>
          <xdr:rowOff>9525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4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29</xdr:row>
          <xdr:rowOff>0</xdr:rowOff>
        </xdr:from>
        <xdr:to>
          <xdr:col>1</xdr:col>
          <xdr:colOff>600075</xdr:colOff>
          <xdr:row>30</xdr:row>
          <xdr:rowOff>9525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4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30</xdr:row>
          <xdr:rowOff>0</xdr:rowOff>
        </xdr:from>
        <xdr:to>
          <xdr:col>1</xdr:col>
          <xdr:colOff>600075</xdr:colOff>
          <xdr:row>31</xdr:row>
          <xdr:rowOff>9525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4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2381250</xdr:colOff>
          <xdr:row>31</xdr:row>
          <xdr:rowOff>9525</xdr:rowOff>
        </xdr:from>
        <xdr:to>
          <xdr:col>1</xdr:col>
          <xdr:colOff>600075</xdr:colOff>
          <xdr:row>32</xdr:row>
          <xdr:rowOff>9525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4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190500</xdr:rowOff>
        </xdr:from>
        <xdr:to>
          <xdr:col>1</xdr:col>
          <xdr:colOff>590550</xdr:colOff>
          <xdr:row>34</xdr:row>
          <xdr:rowOff>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4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3</xdr:row>
          <xdr:rowOff>9525</xdr:rowOff>
        </xdr:from>
        <xdr:to>
          <xdr:col>4</xdr:col>
          <xdr:colOff>590550</xdr:colOff>
          <xdr:row>4</xdr:row>
          <xdr:rowOff>19050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4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4</xdr:row>
          <xdr:rowOff>9525</xdr:rowOff>
        </xdr:from>
        <xdr:to>
          <xdr:col>4</xdr:col>
          <xdr:colOff>590550</xdr:colOff>
          <xdr:row>5</xdr:row>
          <xdr:rowOff>19050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4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5</xdr:row>
          <xdr:rowOff>9525</xdr:rowOff>
        </xdr:from>
        <xdr:to>
          <xdr:col>4</xdr:col>
          <xdr:colOff>590550</xdr:colOff>
          <xdr:row>6</xdr:row>
          <xdr:rowOff>19050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4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2714625</xdr:colOff>
          <xdr:row>6</xdr:row>
          <xdr:rowOff>190500</xdr:rowOff>
        </xdr:from>
        <xdr:to>
          <xdr:col>4</xdr:col>
          <xdr:colOff>581025</xdr:colOff>
          <xdr:row>8</xdr:row>
          <xdr:rowOff>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4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13</xdr:row>
          <xdr:rowOff>0</xdr:rowOff>
        </xdr:from>
        <xdr:to>
          <xdr:col>4</xdr:col>
          <xdr:colOff>590550</xdr:colOff>
          <xdr:row>14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4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14</xdr:row>
          <xdr:rowOff>0</xdr:rowOff>
        </xdr:from>
        <xdr:to>
          <xdr:col>4</xdr:col>
          <xdr:colOff>590550</xdr:colOff>
          <xdr:row>15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4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15</xdr:row>
          <xdr:rowOff>0</xdr:rowOff>
        </xdr:from>
        <xdr:to>
          <xdr:col>4</xdr:col>
          <xdr:colOff>590550</xdr:colOff>
          <xdr:row>16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4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2714625</xdr:colOff>
          <xdr:row>17</xdr:row>
          <xdr:rowOff>9525</xdr:rowOff>
        </xdr:from>
        <xdr:to>
          <xdr:col>4</xdr:col>
          <xdr:colOff>581025</xdr:colOff>
          <xdr:row>18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4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19</xdr:row>
          <xdr:rowOff>190500</xdr:rowOff>
        </xdr:from>
        <xdr:to>
          <xdr:col>4</xdr:col>
          <xdr:colOff>590550</xdr:colOff>
          <xdr:row>21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4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20</xdr:row>
          <xdr:rowOff>190500</xdr:rowOff>
        </xdr:from>
        <xdr:to>
          <xdr:col>4</xdr:col>
          <xdr:colOff>590550</xdr:colOff>
          <xdr:row>22</xdr:row>
          <xdr:rowOff>9525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4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21</xdr:row>
          <xdr:rowOff>190500</xdr:rowOff>
        </xdr:from>
        <xdr:to>
          <xdr:col>4</xdr:col>
          <xdr:colOff>590550</xdr:colOff>
          <xdr:row>23</xdr:row>
          <xdr:rowOff>9525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4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22</xdr:row>
          <xdr:rowOff>190500</xdr:rowOff>
        </xdr:from>
        <xdr:to>
          <xdr:col>4</xdr:col>
          <xdr:colOff>590550</xdr:colOff>
          <xdr:row>24</xdr:row>
          <xdr:rowOff>9525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4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24</xdr:row>
          <xdr:rowOff>9525</xdr:rowOff>
        </xdr:from>
        <xdr:to>
          <xdr:col>4</xdr:col>
          <xdr:colOff>590550</xdr:colOff>
          <xdr:row>25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4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27</xdr:row>
          <xdr:rowOff>190500</xdr:rowOff>
        </xdr:from>
        <xdr:to>
          <xdr:col>4</xdr:col>
          <xdr:colOff>590550</xdr:colOff>
          <xdr:row>29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4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28</xdr:row>
          <xdr:rowOff>190500</xdr:rowOff>
        </xdr:from>
        <xdr:to>
          <xdr:col>4</xdr:col>
          <xdr:colOff>590550</xdr:colOff>
          <xdr:row>30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4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29</xdr:row>
          <xdr:rowOff>190500</xdr:rowOff>
        </xdr:from>
        <xdr:to>
          <xdr:col>4</xdr:col>
          <xdr:colOff>590550</xdr:colOff>
          <xdr:row>31</xdr:row>
          <xdr:rowOff>9525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4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2705100</xdr:colOff>
          <xdr:row>31</xdr:row>
          <xdr:rowOff>9525</xdr:rowOff>
        </xdr:from>
        <xdr:to>
          <xdr:col>4</xdr:col>
          <xdr:colOff>590550</xdr:colOff>
          <xdr:row>32</xdr:row>
          <xdr:rowOff>9525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4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teve Figueroa" id="{CA033FCB-5379-4399-9789-D306699CAFEB}" userId="e945120b7ea0ec7f" providerId="Windows Liv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4" dT="2026-01-22T04:04:00.02" personId="{CA033FCB-5379-4399-9789-D306699CAFEB}" id="{426D1323-BB63-4DB0-A3F0-6CBBCA92DBE7}">
    <text xml:space="preserve">El Índice de Prioridad permite ordenar oportunidades elegibles en función de su eficiencia relativa, mientras que la matriz CT×VEC actúa como un mecanismo de gobernanza que protege al sistema frente a decisiones operativamente riesgosas. La coexistencia de ambos indicadores garantiza que la priorización no optimice únicamente el rendimiento a corto plazo, sino que preserve la estabilidad técnica y organizacional del portafolio. </text>
  </threadedComment>
  <threadedComment ref="F16" dT="2026-01-22T03:40:49.95" personId="{CA033FCB-5379-4399-9789-D306699CAFEB}" id="{DA165C7A-958C-417C-9AAB-FE78C7E5C474}">
    <text>A partir de este valor es mejor contratar a otra persona.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4" dT="2026-01-24T02:30:35.87" personId="{CA033FCB-5379-4399-9789-D306699CAFEB}" id="{7583B073-BC53-4C78-9ABE-9F17A15679A6}">
    <text>La ecuación permite alejarse hasta un 30% del valor de To y permanecerá en OK.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F3C01-CE6D-43F6-9A42-D67C2994AA26}">
  <sheetPr>
    <tabColor rgb="FFFF0000"/>
  </sheetPr>
  <dimension ref="A2:T49"/>
  <sheetViews>
    <sheetView showGridLines="0" tabSelected="1" topLeftCell="A4" workbookViewId="0">
      <selection activeCell="T35" sqref="T35"/>
    </sheetView>
  </sheetViews>
  <sheetFormatPr baseColWidth="10" defaultRowHeight="15" x14ac:dyDescent="0.25"/>
  <sheetData>
    <row r="2" spans="1:20" x14ac:dyDescent="0.25">
      <c r="A2" t="s">
        <v>86</v>
      </c>
      <c r="B2" t="s">
        <v>93</v>
      </c>
    </row>
    <row r="3" spans="1:20" x14ac:dyDescent="0.25">
      <c r="A3" t="s">
        <v>96</v>
      </c>
      <c r="B3" t="s">
        <v>99</v>
      </c>
    </row>
    <row r="4" spans="1:20" x14ac:dyDescent="0.25">
      <c r="A4" t="s">
        <v>97</v>
      </c>
      <c r="B4" t="s">
        <v>98</v>
      </c>
    </row>
    <row r="9" spans="1:20" x14ac:dyDescent="0.25">
      <c r="B9" t="s">
        <v>113</v>
      </c>
    </row>
    <row r="10" spans="1:20" x14ac:dyDescent="0.25">
      <c r="B10" t="s">
        <v>94</v>
      </c>
    </row>
    <row r="11" spans="1:20" x14ac:dyDescent="0.25">
      <c r="B11" t="s">
        <v>95</v>
      </c>
    </row>
    <row r="12" spans="1:20" x14ac:dyDescent="0.25">
      <c r="B12" t="s">
        <v>100</v>
      </c>
    </row>
    <row r="14" spans="1:20" x14ac:dyDescent="0.25">
      <c r="C14" t="s">
        <v>104</v>
      </c>
      <c r="D14" t="s">
        <v>103</v>
      </c>
      <c r="E14" t="s">
        <v>103</v>
      </c>
      <c r="F14" t="s">
        <v>103</v>
      </c>
    </row>
    <row r="15" spans="1:20" x14ac:dyDescent="0.25">
      <c r="D15" t="s">
        <v>101</v>
      </c>
      <c r="E15" t="s">
        <v>102</v>
      </c>
      <c r="F15" t="s">
        <v>106</v>
      </c>
    </row>
    <row r="16" spans="1:20" x14ac:dyDescent="0.25">
      <c r="D16">
        <v>180</v>
      </c>
      <c r="E16">
        <v>120</v>
      </c>
      <c r="F16">
        <f>E16/D16</f>
        <v>0.66666666666666663</v>
      </c>
      <c r="N16" t="s">
        <v>111</v>
      </c>
      <c r="Q16" t="s">
        <v>110</v>
      </c>
      <c r="T16" t="s">
        <v>112</v>
      </c>
    </row>
    <row r="17" spans="2:17" x14ac:dyDescent="0.25">
      <c r="B17" t="s">
        <v>105</v>
      </c>
    </row>
    <row r="18" spans="2:17" x14ac:dyDescent="0.25">
      <c r="B18">
        <v>5.5</v>
      </c>
    </row>
    <row r="19" spans="2:17" x14ac:dyDescent="0.25">
      <c r="B19" t="s">
        <v>108</v>
      </c>
    </row>
    <row r="20" spans="2:17" x14ac:dyDescent="0.25">
      <c r="B20">
        <f>B18*D16</f>
        <v>990</v>
      </c>
    </row>
    <row r="21" spans="2:17" x14ac:dyDescent="0.25">
      <c r="B21" t="s">
        <v>109</v>
      </c>
    </row>
    <row r="22" spans="2:17" x14ac:dyDescent="0.25">
      <c r="B22">
        <v>120</v>
      </c>
    </row>
    <row r="23" spans="2:17" x14ac:dyDescent="0.25">
      <c r="B23" t="s">
        <v>107</v>
      </c>
    </row>
    <row r="24" spans="2:17" x14ac:dyDescent="0.25">
      <c r="B24">
        <f>B20+B22</f>
        <v>1110</v>
      </c>
    </row>
    <row r="27" spans="2:17" x14ac:dyDescent="0.25">
      <c r="Q27" s="21"/>
    </row>
    <row r="28" spans="2:17" x14ac:dyDescent="0.25">
      <c r="M28">
        <f>0.22/64</f>
        <v>3.4375E-3</v>
      </c>
      <c r="Q28" s="21"/>
    </row>
    <row r="30" spans="2:17" ht="15.75" thickBot="1" x14ac:dyDescent="0.3">
      <c r="O30" t="s">
        <v>133</v>
      </c>
    </row>
    <row r="31" spans="2:17" x14ac:dyDescent="0.25">
      <c r="O31" s="54">
        <v>100</v>
      </c>
      <c r="P31" s="28">
        <v>1</v>
      </c>
    </row>
    <row r="32" spans="2:17" x14ac:dyDescent="0.25">
      <c r="O32" s="25" t="s">
        <v>131</v>
      </c>
      <c r="P32" s="24">
        <v>2</v>
      </c>
    </row>
    <row r="33" spans="12:17" x14ac:dyDescent="0.25">
      <c r="O33" s="25" t="s">
        <v>132</v>
      </c>
      <c r="P33" s="24">
        <v>3</v>
      </c>
    </row>
    <row r="34" spans="12:17" ht="15.75" thickBot="1" x14ac:dyDescent="0.3">
      <c r="O34" s="55">
        <v>300</v>
      </c>
      <c r="P34" s="22">
        <v>6</v>
      </c>
    </row>
    <row r="35" spans="12:17" ht="90.75" thickBot="1" x14ac:dyDescent="0.3">
      <c r="M35" s="57" t="s">
        <v>136</v>
      </c>
      <c r="N35" s="57" t="s">
        <v>134</v>
      </c>
      <c r="O35" s="58" t="s">
        <v>135</v>
      </c>
      <c r="P35" s="58" t="s">
        <v>137</v>
      </c>
      <c r="Q35" s="58" t="s">
        <v>138</v>
      </c>
    </row>
    <row r="36" spans="12:17" ht="15.75" thickBot="1" x14ac:dyDescent="0.3">
      <c r="L36" s="63" t="s">
        <v>130</v>
      </c>
      <c r="M36" s="60">
        <v>1</v>
      </c>
      <c r="N36" s="56">
        <v>1</v>
      </c>
      <c r="O36" s="60">
        <v>60</v>
      </c>
      <c r="P36" s="56">
        <v>1</v>
      </c>
      <c r="Q36" s="56">
        <f>P36*N36</f>
        <v>1</v>
      </c>
    </row>
    <row r="37" spans="12:17" x14ac:dyDescent="0.25">
      <c r="M37" s="61">
        <v>3</v>
      </c>
      <c r="N37" s="56">
        <v>1</v>
      </c>
      <c r="O37" s="61">
        <v>60</v>
      </c>
      <c r="P37" s="56">
        <v>1</v>
      </c>
      <c r="Q37" s="56">
        <f t="shared" ref="Q37:Q48" si="0">P37*N37</f>
        <v>1</v>
      </c>
    </row>
    <row r="38" spans="12:17" x14ac:dyDescent="0.25">
      <c r="M38" s="61">
        <v>6</v>
      </c>
      <c r="N38" s="56">
        <v>2</v>
      </c>
      <c r="O38" s="61">
        <v>200</v>
      </c>
      <c r="P38" s="56">
        <v>3</v>
      </c>
      <c r="Q38" s="56">
        <f t="shared" si="0"/>
        <v>6</v>
      </c>
    </row>
    <row r="39" spans="12:17" x14ac:dyDescent="0.25">
      <c r="M39" s="61">
        <v>89</v>
      </c>
      <c r="N39" s="56">
        <v>2</v>
      </c>
      <c r="O39" s="61">
        <v>750</v>
      </c>
      <c r="P39" s="56">
        <v>6</v>
      </c>
      <c r="Q39" s="56">
        <f t="shared" si="0"/>
        <v>12</v>
      </c>
    </row>
    <row r="40" spans="12:17" x14ac:dyDescent="0.25">
      <c r="M40" s="61"/>
      <c r="N40" s="56"/>
      <c r="O40" s="61"/>
      <c r="P40" s="56"/>
      <c r="Q40" s="56">
        <f t="shared" si="0"/>
        <v>0</v>
      </c>
    </row>
    <row r="41" spans="12:17" x14ac:dyDescent="0.25">
      <c r="M41" s="61"/>
      <c r="N41" s="56"/>
      <c r="O41" s="61"/>
      <c r="P41" s="56"/>
      <c r="Q41" s="56">
        <f t="shared" si="0"/>
        <v>0</v>
      </c>
    </row>
    <row r="42" spans="12:17" x14ac:dyDescent="0.25">
      <c r="M42" s="61"/>
      <c r="N42" s="56"/>
      <c r="O42" s="61"/>
      <c r="P42" s="56"/>
      <c r="Q42" s="56">
        <f t="shared" si="0"/>
        <v>0</v>
      </c>
    </row>
    <row r="43" spans="12:17" x14ac:dyDescent="0.25">
      <c r="M43" s="61"/>
      <c r="N43" s="56"/>
      <c r="O43" s="61"/>
      <c r="P43" s="56"/>
      <c r="Q43" s="56">
        <f t="shared" si="0"/>
        <v>0</v>
      </c>
    </row>
    <row r="44" spans="12:17" x14ac:dyDescent="0.25">
      <c r="M44" s="61"/>
      <c r="N44" s="56"/>
      <c r="O44" s="61"/>
      <c r="P44" s="56"/>
      <c r="Q44" s="56">
        <f t="shared" si="0"/>
        <v>0</v>
      </c>
    </row>
    <row r="45" spans="12:17" x14ac:dyDescent="0.25">
      <c r="M45" s="61"/>
      <c r="N45" s="56"/>
      <c r="O45" s="61"/>
      <c r="P45" s="56"/>
      <c r="Q45" s="56">
        <f t="shared" si="0"/>
        <v>0</v>
      </c>
    </row>
    <row r="46" spans="12:17" x14ac:dyDescent="0.25">
      <c r="M46" s="61"/>
      <c r="N46" s="56"/>
      <c r="O46" s="61"/>
      <c r="P46" s="56"/>
      <c r="Q46" s="56">
        <f t="shared" si="0"/>
        <v>0</v>
      </c>
    </row>
    <row r="47" spans="12:17" x14ac:dyDescent="0.25">
      <c r="M47" s="61"/>
      <c r="N47" s="56"/>
      <c r="O47" s="61"/>
      <c r="P47" s="56"/>
      <c r="Q47" s="56">
        <f t="shared" si="0"/>
        <v>0</v>
      </c>
    </row>
    <row r="48" spans="12:17" ht="15.75" thickBot="1" x14ac:dyDescent="0.3">
      <c r="M48" s="62"/>
      <c r="N48" s="56"/>
      <c r="O48" s="62"/>
      <c r="P48" s="56"/>
      <c r="Q48" s="56">
        <f t="shared" si="0"/>
        <v>0</v>
      </c>
    </row>
    <row r="49" spans="17:17" x14ac:dyDescent="0.25">
      <c r="Q49" s="59">
        <f>SUM(Q36:Q48)</f>
        <v>20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CD135-6653-4CA7-974E-647225255C9E}">
  <dimension ref="A1:D6"/>
  <sheetViews>
    <sheetView workbookViewId="0">
      <selection activeCell="I34" sqref="I34"/>
    </sheetView>
  </sheetViews>
  <sheetFormatPr baseColWidth="10" defaultRowHeight="15" x14ac:dyDescent="0.25"/>
  <sheetData>
    <row r="1" spans="1:4" x14ac:dyDescent="0.25">
      <c r="A1" s="52" t="s">
        <v>114</v>
      </c>
      <c r="B1" s="52" t="s">
        <v>115</v>
      </c>
      <c r="C1" s="52" t="s">
        <v>116</v>
      </c>
      <c r="D1" s="52" t="s">
        <v>117</v>
      </c>
    </row>
    <row r="2" spans="1:4" x14ac:dyDescent="0.25">
      <c r="A2" s="50">
        <v>1</v>
      </c>
      <c r="B2" s="50">
        <v>4</v>
      </c>
      <c r="C2" s="50">
        <v>8</v>
      </c>
      <c r="D2" s="50">
        <f>(B2+C2)/2</f>
        <v>6</v>
      </c>
    </row>
    <row r="3" spans="1:4" x14ac:dyDescent="0.25">
      <c r="A3" s="50">
        <v>2</v>
      </c>
      <c r="B3" s="50">
        <v>8</v>
      </c>
      <c r="C3" s="50">
        <v>16</v>
      </c>
      <c r="D3" s="50">
        <f t="shared" ref="D3:D6" si="0">(B3+C3)/2</f>
        <v>12</v>
      </c>
    </row>
    <row r="4" spans="1:4" x14ac:dyDescent="0.25">
      <c r="A4" s="50">
        <v>3</v>
      </c>
      <c r="B4" s="50">
        <v>16</v>
      </c>
      <c r="C4" s="50">
        <v>32</v>
      </c>
      <c r="D4" s="50">
        <f t="shared" si="0"/>
        <v>24</v>
      </c>
    </row>
    <row r="5" spans="1:4" x14ac:dyDescent="0.25">
      <c r="A5" s="50">
        <v>4</v>
      </c>
      <c r="B5" s="50">
        <v>32</v>
      </c>
      <c r="C5" s="50">
        <v>64</v>
      </c>
      <c r="D5" s="50">
        <f t="shared" si="0"/>
        <v>48</v>
      </c>
    </row>
    <row r="6" spans="1:4" x14ac:dyDescent="0.25">
      <c r="A6" s="50">
        <v>5</v>
      </c>
      <c r="B6" s="50">
        <v>64</v>
      </c>
      <c r="C6" s="50">
        <v>120</v>
      </c>
      <c r="D6" s="50">
        <f t="shared" si="0"/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95C24-4820-4AA0-9118-45F9CECC3DC8}">
  <dimension ref="A1:I17"/>
  <sheetViews>
    <sheetView workbookViewId="0">
      <selection activeCell="G13" sqref="G13"/>
    </sheetView>
  </sheetViews>
  <sheetFormatPr baseColWidth="10" defaultRowHeight="15" x14ac:dyDescent="0.25"/>
  <sheetData>
    <row r="1" spans="1:9" ht="30" x14ac:dyDescent="0.25">
      <c r="A1" s="52" t="s">
        <v>118</v>
      </c>
      <c r="B1" s="52" t="s">
        <v>119</v>
      </c>
      <c r="C1" s="52" t="s">
        <v>120</v>
      </c>
      <c r="D1" s="52" t="s">
        <v>121</v>
      </c>
    </row>
    <row r="2" spans="1:9" x14ac:dyDescent="0.25">
      <c r="A2" s="50" t="s">
        <v>122</v>
      </c>
      <c r="B2" s="50">
        <f>MAX(
IF(CT_CHECKLIST!Z4=TRUE, 0, 0),
IF(CT_CHECKLIST!Z5=TRUE, 0.5, 0),
IF(CT_CHECKLIST!Z6=TRUE, 1, 0)
)</f>
        <v>1</v>
      </c>
      <c r="C2" s="50">
        <v>0.3</v>
      </c>
      <c r="D2" s="50">
        <f>B2*C2</f>
        <v>0.3</v>
      </c>
    </row>
    <row r="3" spans="1:9" x14ac:dyDescent="0.25">
      <c r="A3" s="50" t="s">
        <v>123</v>
      </c>
      <c r="B3" s="50">
        <f>MAX(
IF(CT_CHECKLIST!AA4=TRUE, 0, 0),
IF(CT_CHECKLIST!AA5=TRUE, 0.5, 0),
IF(CT_CHECKLIST!AA6=TRUE, 1, 0)
)</f>
        <v>1</v>
      </c>
      <c r="C3" s="50">
        <v>0.25</v>
      </c>
      <c r="D3" s="50">
        <f t="shared" ref="D3:D9" si="0">B3*C3</f>
        <v>0.25</v>
      </c>
    </row>
    <row r="4" spans="1:9" x14ac:dyDescent="0.25">
      <c r="A4" s="50" t="s">
        <v>124</v>
      </c>
      <c r="B4" s="50">
        <f>MAX(
IF(CT_CHECKLIST!AB14=TRUE, 0.33, 0),
IF(CT_CHECKLIST!AB15=TRUE, 0.67, 0),
IF(CT_CHECKLIST!AB16=TRUE, 1, 0)
)</f>
        <v>1</v>
      </c>
      <c r="C4" s="50">
        <v>0.15</v>
      </c>
      <c r="D4" s="50">
        <f t="shared" si="0"/>
        <v>0.15</v>
      </c>
    </row>
    <row r="5" spans="1:9" x14ac:dyDescent="0.25">
      <c r="A5" s="50" t="s">
        <v>125</v>
      </c>
      <c r="B5" s="50">
        <f>MAX(
IF(CT_CHECKLIST!AC14=TRUE, 0, 0),
IF(CT_CHECKLIST!AC15=TRUE, 0.5, 0),
IF(CT_CHECKLIST!AC16=TRUE, 1, 0)
)</f>
        <v>1</v>
      </c>
      <c r="C5" s="50">
        <v>0.1</v>
      </c>
      <c r="D5" s="50">
        <f t="shared" si="0"/>
        <v>0.1</v>
      </c>
    </row>
    <row r="6" spans="1:9" x14ac:dyDescent="0.25">
      <c r="A6" s="50" t="s">
        <v>69</v>
      </c>
      <c r="B6" s="50">
        <f>MAX(
IF(CT_CHECKLIST!AD21=TRUE, 0, 0),
IF(CT_CHECKLIST!AD22=TRUE, 0.5, 0),
IF(CT_CHECKLIST!AD23=TRUE, 1, 0)
)</f>
        <v>0</v>
      </c>
      <c r="C6" s="50">
        <v>0.1</v>
      </c>
      <c r="D6" s="50">
        <f t="shared" si="0"/>
        <v>0</v>
      </c>
    </row>
    <row r="7" spans="1:9" x14ac:dyDescent="0.25">
      <c r="A7" s="50" t="s">
        <v>126</v>
      </c>
      <c r="B7" s="50">
        <f>CT_CHECKLIST!AE28</f>
        <v>1</v>
      </c>
      <c r="C7" s="50">
        <v>0.05</v>
      </c>
      <c r="D7" s="50">
        <f t="shared" si="0"/>
        <v>0.05</v>
      </c>
    </row>
    <row r="8" spans="1:9" x14ac:dyDescent="0.25">
      <c r="A8" s="50" t="s">
        <v>72</v>
      </c>
      <c r="B8" s="50">
        <f>MAX(
IF(CT_CHECKLIST!AF29=TRUE, 0.25, 0),
IF(CT_CHECKLIST!AF30=TRUE, 0.5, 0),
IF(CT_CHECKLIST!AF31=TRUE, 0.75, 0),
IF(CT_CHECKLIST!AF32=TRUE, 1, 0)
)</f>
        <v>1</v>
      </c>
      <c r="C8" s="50">
        <v>0.03</v>
      </c>
      <c r="D8" s="50">
        <f t="shared" si="0"/>
        <v>0.03</v>
      </c>
    </row>
    <row r="9" spans="1:9" x14ac:dyDescent="0.25">
      <c r="A9" s="50" t="s">
        <v>127</v>
      </c>
      <c r="B9" s="50">
        <f>MAX(
IF(CT_CHECKLIST!AG29=TRUE, 0, 0),
IF(CT_CHECKLIST!AG30=TRUE, 0.33, 0),
IF(CT_CHECKLIST!AG31=TRUE, 0.67, 0),
IF(CT_CHECKLIST!AG32=TRUE, 1, 0)
)</f>
        <v>0</v>
      </c>
      <c r="C9" s="50">
        <v>0.02</v>
      </c>
      <c r="D9" s="50">
        <f t="shared" si="0"/>
        <v>0</v>
      </c>
    </row>
    <row r="10" spans="1:9" x14ac:dyDescent="0.25">
      <c r="A10" s="52" t="s">
        <v>128</v>
      </c>
      <c r="B10" s="50"/>
      <c r="C10" s="53">
        <f>SUM(C2:C9)</f>
        <v>1</v>
      </c>
      <c r="D10" s="50">
        <f>SUM(D2:D9)</f>
        <v>0.88000000000000012</v>
      </c>
    </row>
    <row r="12" spans="1:9" x14ac:dyDescent="0.25">
      <c r="F12" s="51"/>
      <c r="G12" s="51"/>
      <c r="H12" s="51"/>
      <c r="I12" s="51"/>
    </row>
    <row r="13" spans="1:9" x14ac:dyDescent="0.25">
      <c r="F13" s="50"/>
      <c r="G13" s="50"/>
      <c r="H13" s="50"/>
      <c r="I13" s="52"/>
    </row>
    <row r="14" spans="1:9" x14ac:dyDescent="0.25">
      <c r="F14" s="50"/>
      <c r="G14" s="50"/>
      <c r="H14" s="50"/>
      <c r="I14" s="52"/>
    </row>
    <row r="15" spans="1:9" x14ac:dyDescent="0.25">
      <c r="F15" s="50"/>
      <c r="G15" s="50"/>
      <c r="H15" s="50"/>
      <c r="I15" s="52"/>
    </row>
    <row r="16" spans="1:9" x14ac:dyDescent="0.25">
      <c r="F16" s="50"/>
      <c r="G16" s="50"/>
      <c r="H16" s="50"/>
      <c r="I16" s="52"/>
    </row>
    <row r="17" spans="6:9" x14ac:dyDescent="0.25">
      <c r="F17" s="50"/>
      <c r="G17" s="50"/>
      <c r="H17" s="50"/>
      <c r="I17" s="5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8590D-443F-4FB4-A85A-7283DC0E98FA}">
  <sheetPr codeName="Hoja1"/>
  <dimension ref="A1:F17"/>
  <sheetViews>
    <sheetView workbookViewId="0">
      <selection activeCell="B8" sqref="B8"/>
    </sheetView>
  </sheetViews>
  <sheetFormatPr baseColWidth="10" defaultColWidth="9.140625" defaultRowHeight="15" x14ac:dyDescent="0.25"/>
  <cols>
    <col min="1" max="1" width="26.42578125" bestFit="1" customWidth="1"/>
    <col min="2" max="2" width="19.7109375" bestFit="1" customWidth="1"/>
    <col min="4" max="4" width="18.28515625" customWidth="1"/>
    <col min="5" max="5" width="10.28515625" customWidth="1"/>
    <col min="6" max="6" width="15.42578125" customWidth="1"/>
  </cols>
  <sheetData>
    <row r="1" spans="1:6" x14ac:dyDescent="0.25">
      <c r="A1" s="21" t="s">
        <v>19</v>
      </c>
    </row>
    <row r="3" spans="1:6" x14ac:dyDescent="0.25">
      <c r="A3" s="21" t="s">
        <v>18</v>
      </c>
      <c r="B3" t="s">
        <v>17</v>
      </c>
    </row>
    <row r="4" spans="1:6" ht="15.75" thickBot="1" x14ac:dyDescent="0.3">
      <c r="A4" s="21" t="s">
        <v>16</v>
      </c>
      <c r="B4" t="s">
        <v>15</v>
      </c>
    </row>
    <row r="5" spans="1:6" x14ac:dyDescent="0.25">
      <c r="A5" s="20" t="s">
        <v>14</v>
      </c>
      <c r="B5" s="19">
        <v>100000000</v>
      </c>
    </row>
    <row r="6" spans="1:6" x14ac:dyDescent="0.25">
      <c r="A6" s="18" t="s">
        <v>13</v>
      </c>
      <c r="B6" s="17">
        <v>15</v>
      </c>
    </row>
    <row r="7" spans="1:6" ht="15.75" thickBot="1" x14ac:dyDescent="0.3">
      <c r="A7" s="16" t="s">
        <v>12</v>
      </c>
      <c r="B7" s="15">
        <v>14</v>
      </c>
    </row>
    <row r="8" spans="1:6" x14ac:dyDescent="0.25">
      <c r="A8" s="14" t="s">
        <v>11</v>
      </c>
      <c r="B8" s="13">
        <v>70</v>
      </c>
    </row>
    <row r="9" spans="1:6" x14ac:dyDescent="0.25">
      <c r="A9" s="12" t="s">
        <v>10</v>
      </c>
      <c r="B9" s="11" t="s">
        <v>129</v>
      </c>
    </row>
    <row r="10" spans="1:6" ht="15.75" thickBot="1" x14ac:dyDescent="0.3"/>
    <row r="11" spans="1:6" ht="30.75" thickBot="1" x14ac:dyDescent="0.3">
      <c r="D11" s="10" t="s">
        <v>9</v>
      </c>
      <c r="E11" s="9" t="s">
        <v>8</v>
      </c>
      <c r="F11" s="8" t="s">
        <v>7</v>
      </c>
    </row>
    <row r="12" spans="1:6" x14ac:dyDescent="0.25">
      <c r="D12" s="7" t="s">
        <v>6</v>
      </c>
      <c r="E12" s="5" t="s">
        <v>0</v>
      </c>
      <c r="F12" s="4"/>
    </row>
    <row r="13" spans="1:6" x14ac:dyDescent="0.25">
      <c r="D13" s="6" t="s">
        <v>5</v>
      </c>
      <c r="E13" s="5" t="s">
        <v>0</v>
      </c>
      <c r="F13" s="4"/>
    </row>
    <row r="14" spans="1:6" x14ac:dyDescent="0.25">
      <c r="D14" s="6" t="s">
        <v>4</v>
      </c>
      <c r="E14" s="5"/>
      <c r="F14" s="4" t="s">
        <v>0</v>
      </c>
    </row>
    <row r="15" spans="1:6" x14ac:dyDescent="0.25">
      <c r="D15" s="6" t="s">
        <v>3</v>
      </c>
      <c r="E15" s="5"/>
      <c r="F15" s="4" t="s">
        <v>0</v>
      </c>
    </row>
    <row r="16" spans="1:6" x14ac:dyDescent="0.25">
      <c r="D16" s="6" t="s">
        <v>2</v>
      </c>
      <c r="E16" s="5"/>
      <c r="F16" s="4" t="s">
        <v>0</v>
      </c>
    </row>
    <row r="17" spans="4:6" ht="15.75" thickBot="1" x14ac:dyDescent="0.3">
      <c r="D17" s="3" t="s">
        <v>1</v>
      </c>
      <c r="E17" s="2" t="s">
        <v>0</v>
      </c>
      <c r="F17" s="1"/>
    </row>
  </sheetData>
  <dataValidations count="1">
    <dataValidation type="list" allowBlank="1" sqref="B9" xr:uid="{00000000-0002-0000-0000-000000000000}">
      <formula1>"Baja,Media,Alta,Crítica"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8131E-0989-4A6F-B50E-60F0EF21C0D9}">
  <sheetPr codeName="Hoja2"/>
  <dimension ref="A1:AG34"/>
  <sheetViews>
    <sheetView topLeftCell="A2" zoomScaleNormal="100" workbookViewId="0">
      <selection activeCell="B7" sqref="B7"/>
    </sheetView>
  </sheetViews>
  <sheetFormatPr baseColWidth="10" defaultColWidth="9.140625" defaultRowHeight="15" x14ac:dyDescent="0.25"/>
  <cols>
    <col min="1" max="1" width="35.7109375" bestFit="1" customWidth="1"/>
    <col min="4" max="4" width="40.7109375" bestFit="1" customWidth="1"/>
    <col min="13" max="25" width="9.140625" customWidth="1"/>
    <col min="26" max="33" width="12.42578125" customWidth="1"/>
    <col min="34" max="34" width="9.140625" customWidth="1"/>
  </cols>
  <sheetData>
    <row r="1" spans="1:29" x14ac:dyDescent="0.25">
      <c r="A1" s="21" t="s">
        <v>67</v>
      </c>
    </row>
    <row r="2" spans="1:29" ht="15.75" thickBot="1" x14ac:dyDescent="0.3">
      <c r="H2" s="21" t="s">
        <v>66</v>
      </c>
    </row>
    <row r="3" spans="1:29" x14ac:dyDescent="0.25">
      <c r="A3" s="29" t="s">
        <v>65</v>
      </c>
      <c r="B3" s="28"/>
      <c r="D3" s="29" t="s">
        <v>64</v>
      </c>
      <c r="E3" s="28"/>
    </row>
    <row r="4" spans="1:29" x14ac:dyDescent="0.25">
      <c r="A4" s="27" t="s">
        <v>63</v>
      </c>
      <c r="B4" s="24"/>
      <c r="D4" s="27" t="s">
        <v>62</v>
      </c>
      <c r="E4" s="24"/>
      <c r="Z4" t="b">
        <v>0</v>
      </c>
      <c r="AA4" t="b">
        <v>0</v>
      </c>
    </row>
    <row r="5" spans="1:29" x14ac:dyDescent="0.25">
      <c r="A5" s="27" t="s">
        <v>61</v>
      </c>
      <c r="B5" s="24"/>
      <c r="D5" s="27" t="s">
        <v>60</v>
      </c>
      <c r="E5" s="24"/>
      <c r="Z5" t="b">
        <v>0</v>
      </c>
      <c r="AA5" t="b">
        <v>0</v>
      </c>
    </row>
    <row r="6" spans="1:29" x14ac:dyDescent="0.25">
      <c r="A6" s="27" t="s">
        <v>59</v>
      </c>
      <c r="B6" s="24"/>
      <c r="D6" s="27" t="s">
        <v>58</v>
      </c>
      <c r="E6" s="24"/>
      <c r="Z6" t="b">
        <v>1</v>
      </c>
      <c r="AA6" t="b">
        <v>1</v>
      </c>
    </row>
    <row r="7" spans="1:29" x14ac:dyDescent="0.25">
      <c r="A7" s="25"/>
      <c r="B7" s="24"/>
      <c r="D7" s="25"/>
      <c r="E7" s="24"/>
      <c r="Z7" t="b">
        <v>0</v>
      </c>
      <c r="AA7" t="b">
        <v>0</v>
      </c>
    </row>
    <row r="8" spans="1:29" ht="15.75" thickBot="1" x14ac:dyDescent="0.3">
      <c r="A8" s="30" t="s">
        <v>57</v>
      </c>
      <c r="B8" s="24"/>
      <c r="D8" s="23" t="s">
        <v>56</v>
      </c>
      <c r="E8" s="22"/>
      <c r="Z8" t="b">
        <v>0</v>
      </c>
    </row>
    <row r="9" spans="1:29" x14ac:dyDescent="0.25">
      <c r="A9" s="30" t="s">
        <v>55</v>
      </c>
      <c r="B9" s="24"/>
      <c r="Z9" t="b">
        <v>0</v>
      </c>
    </row>
    <row r="10" spans="1:29" ht="15.75" thickBot="1" x14ac:dyDescent="0.3">
      <c r="A10" s="23" t="s">
        <v>54</v>
      </c>
      <c r="B10" s="22"/>
    </row>
    <row r="12" spans="1:29" ht="15.75" thickBot="1" x14ac:dyDescent="0.3"/>
    <row r="13" spans="1:29" x14ac:dyDescent="0.25">
      <c r="A13" s="29" t="s">
        <v>53</v>
      </c>
      <c r="B13" s="28"/>
      <c r="D13" s="29" t="s">
        <v>52</v>
      </c>
      <c r="E13" s="28"/>
    </row>
    <row r="14" spans="1:29" x14ac:dyDescent="0.25">
      <c r="A14" s="27" t="s">
        <v>51</v>
      </c>
      <c r="B14" s="24"/>
      <c r="D14" s="27" t="s">
        <v>50</v>
      </c>
      <c r="E14" s="24"/>
      <c r="AB14" t="b">
        <v>0</v>
      </c>
      <c r="AC14" t="b">
        <v>0</v>
      </c>
    </row>
    <row r="15" spans="1:29" x14ac:dyDescent="0.25">
      <c r="A15" s="27" t="s">
        <v>49</v>
      </c>
      <c r="B15" s="24"/>
      <c r="D15" s="27" t="s">
        <v>48</v>
      </c>
      <c r="E15" s="24"/>
      <c r="AB15" t="b">
        <v>0</v>
      </c>
      <c r="AC15" t="b">
        <v>0</v>
      </c>
    </row>
    <row r="16" spans="1:29" x14ac:dyDescent="0.25">
      <c r="A16" s="27" t="s">
        <v>47</v>
      </c>
      <c r="B16" s="24"/>
      <c r="D16" s="27" t="s">
        <v>46</v>
      </c>
      <c r="E16" s="24"/>
      <c r="AB16" t="b">
        <v>1</v>
      </c>
      <c r="AC16" t="b">
        <v>1</v>
      </c>
    </row>
    <row r="17" spans="1:33" x14ac:dyDescent="0.25">
      <c r="A17" s="25"/>
      <c r="B17" s="24"/>
      <c r="D17" s="25"/>
      <c r="E17" s="24"/>
      <c r="AB17" t="b">
        <v>0</v>
      </c>
      <c r="AC17" t="b">
        <v>0</v>
      </c>
    </row>
    <row r="18" spans="1:33" ht="15.75" thickBot="1" x14ac:dyDescent="0.3">
      <c r="A18" s="23" t="s">
        <v>45</v>
      </c>
      <c r="B18" s="22"/>
      <c r="D18" s="23" t="s">
        <v>44</v>
      </c>
      <c r="E18" s="22"/>
    </row>
    <row r="19" spans="1:33" ht="15.75" thickBot="1" x14ac:dyDescent="0.3"/>
    <row r="20" spans="1:33" x14ac:dyDescent="0.25">
      <c r="A20" s="29" t="s">
        <v>43</v>
      </c>
      <c r="B20" s="28"/>
      <c r="D20" s="29" t="s">
        <v>42</v>
      </c>
      <c r="E20" s="28"/>
    </row>
    <row r="21" spans="1:33" x14ac:dyDescent="0.25">
      <c r="A21" s="27" t="s">
        <v>41</v>
      </c>
      <c r="B21" s="24"/>
      <c r="D21" s="27" t="s">
        <v>40</v>
      </c>
      <c r="E21" s="24"/>
      <c r="AD21" t="b">
        <v>1</v>
      </c>
      <c r="AE21" t="b">
        <v>1</v>
      </c>
    </row>
    <row r="22" spans="1:33" x14ac:dyDescent="0.25">
      <c r="A22" s="27" t="s">
        <v>39</v>
      </c>
      <c r="B22" s="24"/>
      <c r="D22" s="32" t="s">
        <v>38</v>
      </c>
      <c r="E22" s="31"/>
      <c r="AD22" t="b">
        <v>0</v>
      </c>
      <c r="AE22" t="b">
        <v>1</v>
      </c>
    </row>
    <row r="23" spans="1:33" x14ac:dyDescent="0.25">
      <c r="A23" s="27" t="s">
        <v>37</v>
      </c>
      <c r="B23" s="24"/>
      <c r="D23" s="33" t="s">
        <v>36</v>
      </c>
      <c r="E23" s="24"/>
      <c r="AD23" t="b">
        <v>0</v>
      </c>
      <c r="AE23" t="b">
        <v>1</v>
      </c>
    </row>
    <row r="24" spans="1:33" x14ac:dyDescent="0.25">
      <c r="A24" s="25"/>
      <c r="B24" s="24"/>
      <c r="D24" s="32" t="s">
        <v>35</v>
      </c>
      <c r="E24" s="31"/>
      <c r="AD24" t="b">
        <v>0</v>
      </c>
      <c r="AE24" t="b">
        <v>1</v>
      </c>
    </row>
    <row r="25" spans="1:33" x14ac:dyDescent="0.25">
      <c r="A25" s="30" t="s">
        <v>34</v>
      </c>
      <c r="B25" s="24"/>
      <c r="D25" s="27" t="s">
        <v>33</v>
      </c>
      <c r="E25" s="24"/>
      <c r="AD25" t="b">
        <v>0</v>
      </c>
      <c r="AE25" t="b">
        <v>1</v>
      </c>
    </row>
    <row r="26" spans="1:33" ht="15.75" thickBot="1" x14ac:dyDescent="0.3">
      <c r="A26" s="23" t="s">
        <v>32</v>
      </c>
      <c r="B26" s="22"/>
      <c r="D26" s="25"/>
      <c r="E26" s="24"/>
    </row>
    <row r="27" spans="1:33" ht="15.75" thickBot="1" x14ac:dyDescent="0.3">
      <c r="D27" s="23" t="s">
        <v>31</v>
      </c>
      <c r="E27" s="22">
        <f>IF(AE27&lt;=1,0,IF(AE27=2,5,IF(AE27=3,10,IF(AE27=4,15,20))))</f>
        <v>20</v>
      </c>
      <c r="AE27">
        <f>COUNTIF(AE21:AE25,TRUE)</f>
        <v>5</v>
      </c>
    </row>
    <row r="28" spans="1:33" x14ac:dyDescent="0.25">
      <c r="A28" s="29" t="s">
        <v>30</v>
      </c>
      <c r="B28" s="28"/>
      <c r="D28" s="29" t="s">
        <v>29</v>
      </c>
      <c r="E28" s="28"/>
      <c r="AE28">
        <f>IF(AE27&lt;=1, 0,
IF(AE27=2, 0.25,
IF(AE27=3, 0.5,
IF(AE27=4, 0.75,
1))))</f>
        <v>1</v>
      </c>
    </row>
    <row r="29" spans="1:33" x14ac:dyDescent="0.25">
      <c r="A29" s="27" t="s">
        <v>28</v>
      </c>
      <c r="B29" s="24"/>
      <c r="D29" s="27" t="s">
        <v>27</v>
      </c>
      <c r="E29" s="24"/>
      <c r="AF29" t="b">
        <v>0</v>
      </c>
      <c r="AG29" t="b">
        <v>1</v>
      </c>
    </row>
    <row r="30" spans="1:33" x14ac:dyDescent="0.25">
      <c r="A30" s="27" t="s">
        <v>26</v>
      </c>
      <c r="B30" s="24"/>
      <c r="D30" s="27" t="s">
        <v>25</v>
      </c>
      <c r="E30" s="24"/>
      <c r="AF30" t="b">
        <v>0</v>
      </c>
      <c r="AG30" t="b">
        <v>0</v>
      </c>
    </row>
    <row r="31" spans="1:33" x14ac:dyDescent="0.25">
      <c r="A31" s="27" t="s">
        <v>24</v>
      </c>
      <c r="B31" s="24"/>
      <c r="D31" s="27" t="s">
        <v>23</v>
      </c>
      <c r="E31" s="24"/>
      <c r="AF31" t="b">
        <v>0</v>
      </c>
      <c r="AG31" t="b">
        <v>0</v>
      </c>
    </row>
    <row r="32" spans="1:33" ht="15.75" thickBot="1" x14ac:dyDescent="0.3">
      <c r="A32" s="27" t="s">
        <v>22</v>
      </c>
      <c r="B32" s="24"/>
      <c r="D32" s="26" t="s">
        <v>21</v>
      </c>
      <c r="E32" s="22"/>
      <c r="AF32" t="b">
        <v>1</v>
      </c>
      <c r="AG32" t="b">
        <v>0</v>
      </c>
    </row>
    <row r="33" spans="1:32" x14ac:dyDescent="0.25">
      <c r="A33" s="25"/>
      <c r="B33" s="24"/>
      <c r="AF33" t="b">
        <v>0</v>
      </c>
    </row>
    <row r="34" spans="1:32" ht="15.75" thickBot="1" x14ac:dyDescent="0.3">
      <c r="A34" s="23" t="s">
        <v>20</v>
      </c>
      <c r="B34" s="22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Check Box 3">
              <controlPr defaultSize="0" autoFill="0" autoLine="0" autoPict="0" macro="[0]!H_Z4">
                <anchor moveWithCells="1">
                  <from>
                    <xdr:col>0</xdr:col>
                    <xdr:colOff>2381250</xdr:colOff>
                    <xdr:row>3</xdr:row>
                    <xdr:rowOff>0</xdr:rowOff>
                  </from>
                  <to>
                    <xdr:col>1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[0]!H_Z5">
                <anchor moveWithCells="1">
                  <from>
                    <xdr:col>0</xdr:col>
                    <xdr:colOff>2381250</xdr:colOff>
                    <xdr:row>3</xdr:row>
                    <xdr:rowOff>190500</xdr:rowOff>
                  </from>
                  <to>
                    <xdr:col>1</xdr:col>
                    <xdr:colOff>600075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[0]!H_Z6">
                <anchor moveWithCells="1">
                  <from>
                    <xdr:col>0</xdr:col>
                    <xdr:colOff>2381250</xdr:colOff>
                    <xdr:row>5</xdr:row>
                    <xdr:rowOff>0</xdr:rowOff>
                  </from>
                  <to>
                    <xdr:col>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Check Box 7">
              <controlPr defaultSize="0" autoFill="0" autoLine="0" autoPict="0">
                <anchor moveWithCells="1">
                  <from>
                    <xdr:col>0</xdr:col>
                    <xdr:colOff>2381250</xdr:colOff>
                    <xdr:row>7</xdr:row>
                    <xdr:rowOff>9525</xdr:rowOff>
                  </from>
                  <to>
                    <xdr:col>1</xdr:col>
                    <xdr:colOff>600075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0</xdr:col>
                    <xdr:colOff>2381250</xdr:colOff>
                    <xdr:row>8</xdr:row>
                    <xdr:rowOff>0</xdr:rowOff>
                  </from>
                  <to>
                    <xdr:col>1</xdr:col>
                    <xdr:colOff>600075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0</xdr:col>
                    <xdr:colOff>2381250</xdr:colOff>
                    <xdr:row>9</xdr:row>
                    <xdr:rowOff>0</xdr:rowOff>
                  </from>
                  <to>
                    <xdr:col>1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Check Box 17">
              <controlPr defaultSize="0" autoFill="0" autoLine="0" autoPict="0" macro="[0]!D_AB14">
                <anchor moveWithCells="1">
                  <from>
                    <xdr:col>0</xdr:col>
                    <xdr:colOff>2381250</xdr:colOff>
                    <xdr:row>13</xdr:row>
                    <xdr:rowOff>0</xdr:rowOff>
                  </from>
                  <to>
                    <xdr:col>1</xdr:col>
                    <xdr:colOff>600075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Check Box 18">
              <controlPr defaultSize="0" autoFill="0" autoLine="0" autoPict="0" macro="[0]!D_AB15">
                <anchor moveWithCells="1">
                  <from>
                    <xdr:col>0</xdr:col>
                    <xdr:colOff>2381250</xdr:colOff>
                    <xdr:row>14</xdr:row>
                    <xdr:rowOff>0</xdr:rowOff>
                  </from>
                  <to>
                    <xdr:col>1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Check Box 19">
              <controlPr defaultSize="0" autoFill="0" autoLine="0" autoPict="0" macro="[0]!D_AB16">
                <anchor moveWithCells="1">
                  <from>
                    <xdr:col>0</xdr:col>
                    <xdr:colOff>2381250</xdr:colOff>
                    <xdr:row>15</xdr:row>
                    <xdr:rowOff>0</xdr:rowOff>
                  </from>
                  <to>
                    <xdr:col>1</xdr:col>
                    <xdr:colOff>600075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Check Box 21">
              <controlPr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9525</xdr:rowOff>
                  </from>
                  <to>
                    <xdr:col>1</xdr:col>
                    <xdr:colOff>590550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Check Box 24">
              <controlPr defaultSize="0" autoFill="0" autoLine="0" autoPict="0" macro="[0]!E_AD21">
                <anchor moveWithCells="1">
                  <from>
                    <xdr:col>0</xdr:col>
                    <xdr:colOff>2381250</xdr:colOff>
                    <xdr:row>19</xdr:row>
                    <xdr:rowOff>180975</xdr:rowOff>
                  </from>
                  <to>
                    <xdr:col>1</xdr:col>
                    <xdr:colOff>600075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Check Box 25">
              <controlPr defaultSize="0" autoFill="0" autoLine="0" autoPict="0" macro="[0]!E_AD22">
                <anchor moveWithCells="1">
                  <from>
                    <xdr:col>0</xdr:col>
                    <xdr:colOff>2381250</xdr:colOff>
                    <xdr:row>20</xdr:row>
                    <xdr:rowOff>180975</xdr:rowOff>
                  </from>
                  <to>
                    <xdr:col>1</xdr:col>
                    <xdr:colOff>600075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Check Box 26">
              <controlPr defaultSize="0" autoFill="0" autoLine="0" autoPict="0" macro="[0]!E_AD23">
                <anchor moveWithCells="1">
                  <from>
                    <xdr:col>0</xdr:col>
                    <xdr:colOff>2381250</xdr:colOff>
                    <xdr:row>21</xdr:row>
                    <xdr:rowOff>180975</xdr:rowOff>
                  </from>
                  <to>
                    <xdr:col>1</xdr:col>
                    <xdr:colOff>600075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6" name="Check Box 28">
              <controlPr defaultSize="0" autoFill="0" autoLine="0" autoPict="0">
                <anchor mov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1</xdr:col>
                    <xdr:colOff>590550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7" name="Check Box 29">
              <controlPr defaultSize="0" autoFill="0" autoLine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1</xdr:col>
                    <xdr:colOff>590550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8" name="Check Box 31">
              <controlPr defaultSize="0" autoFill="0" autoLine="0" autoPict="0" macro="[0]!C_AF29">
                <anchor moveWithCells="1">
                  <from>
                    <xdr:col>0</xdr:col>
                    <xdr:colOff>2381250</xdr:colOff>
                    <xdr:row>28</xdr:row>
                    <xdr:rowOff>0</xdr:rowOff>
                  </from>
                  <to>
                    <xdr:col>1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9" name="Check Box 32">
              <controlPr defaultSize="0" autoFill="0" autoLine="0" autoPict="0" macro="[0]!C_AF30">
                <anchor moveWithCells="1">
                  <from>
                    <xdr:col>0</xdr:col>
                    <xdr:colOff>2381250</xdr:colOff>
                    <xdr:row>29</xdr:row>
                    <xdr:rowOff>0</xdr:rowOff>
                  </from>
                  <to>
                    <xdr:col>1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0" name="Check Box 33">
              <controlPr defaultSize="0" autoFill="0" autoLine="0" autoPict="0" macro="[0]!C_AF31">
                <anchor moveWithCells="1">
                  <from>
                    <xdr:col>0</xdr:col>
                    <xdr:colOff>2381250</xdr:colOff>
                    <xdr:row>30</xdr:row>
                    <xdr:rowOff>0</xdr:rowOff>
                  </from>
                  <to>
                    <xdr:col>1</xdr:col>
                    <xdr:colOff>600075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1" name="Check Box 34">
              <controlPr defaultSize="0" autoFill="0" autoLine="0" autoPict="0" macro="[0]!C_AF32">
                <anchor moveWithCells="1">
                  <from>
                    <xdr:col>0</xdr:col>
                    <xdr:colOff>2381250</xdr:colOff>
                    <xdr:row>31</xdr:row>
                    <xdr:rowOff>9525</xdr:rowOff>
                  </from>
                  <to>
                    <xdr:col>1</xdr:col>
                    <xdr:colOff>600075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2" name="Check Box 36">
              <controlPr defaultSize="0" autoFill="0" autoLine="0" autoPict="0">
                <anchor moveWithCells="1">
                  <from>
                    <xdr:col>1</xdr:col>
                    <xdr:colOff>0</xdr:colOff>
                    <xdr:row>32</xdr:row>
                    <xdr:rowOff>190500</xdr:rowOff>
                  </from>
                  <to>
                    <xdr:col>1</xdr:col>
                    <xdr:colOff>590550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3" name="Check Box 38">
              <controlPr defaultSize="0" autoFill="0" autoLine="0" autoPict="0" macro="[0]!B_AA4">
                <anchor moveWithCells="1">
                  <from>
                    <xdr:col>3</xdr:col>
                    <xdr:colOff>2705100</xdr:colOff>
                    <xdr:row>3</xdr:row>
                    <xdr:rowOff>9525</xdr:rowOff>
                  </from>
                  <to>
                    <xdr:col>4</xdr:col>
                    <xdr:colOff>590550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4" name="Check Box 39">
              <controlPr defaultSize="0" autoFill="0" autoLine="0" autoPict="0" macro="[0]!B_AA5">
                <anchor moveWithCells="1">
                  <from>
                    <xdr:col>3</xdr:col>
                    <xdr:colOff>2705100</xdr:colOff>
                    <xdr:row>4</xdr:row>
                    <xdr:rowOff>9525</xdr:rowOff>
                  </from>
                  <to>
                    <xdr:col>4</xdr:col>
                    <xdr:colOff>590550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5" name="Check Box 40">
              <controlPr defaultSize="0" autoFill="0" autoLine="0" autoPict="0" macro="[0]!B_AA6">
                <anchor moveWithCells="1">
                  <from>
                    <xdr:col>3</xdr:col>
                    <xdr:colOff>2705100</xdr:colOff>
                    <xdr:row>5</xdr:row>
                    <xdr:rowOff>9525</xdr:rowOff>
                  </from>
                  <to>
                    <xdr:col>4</xdr:col>
                    <xdr:colOff>590550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6" name="Check Box 42">
              <controlPr defaultSize="0" autoFill="0" autoLine="0" autoPict="0">
                <anchor moveWithCells="1">
                  <from>
                    <xdr:col>3</xdr:col>
                    <xdr:colOff>2714625</xdr:colOff>
                    <xdr:row>6</xdr:row>
                    <xdr:rowOff>190500</xdr:rowOff>
                  </from>
                  <to>
                    <xdr:col>4</xdr:col>
                    <xdr:colOff>581025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7" name="Check Box 45">
              <controlPr defaultSize="0" autoFill="0" autoLine="0" autoPict="0" macro="[0]!G_AC14">
                <anchor moveWithCells="1">
                  <from>
                    <xdr:col>3</xdr:col>
                    <xdr:colOff>2705100</xdr:colOff>
                    <xdr:row>13</xdr:row>
                    <xdr:rowOff>0</xdr:rowOff>
                  </from>
                  <to>
                    <xdr:col>4</xdr:col>
                    <xdr:colOff>590550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8" name="Check Box 46">
              <controlPr defaultSize="0" autoFill="0" autoLine="0" autoPict="0" macro="[0]!G_AC15">
                <anchor moveWithCells="1">
                  <from>
                    <xdr:col>3</xdr:col>
                    <xdr:colOff>2705100</xdr:colOff>
                    <xdr:row>14</xdr:row>
                    <xdr:rowOff>0</xdr:rowOff>
                  </from>
                  <to>
                    <xdr:col>4</xdr:col>
                    <xdr:colOff>590550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9" name="Check Box 47">
              <controlPr defaultSize="0" autoFill="0" autoLine="0" autoPict="0" macro="[0]!G_AC16">
                <anchor moveWithCells="1">
                  <from>
                    <xdr:col>3</xdr:col>
                    <xdr:colOff>2705100</xdr:colOff>
                    <xdr:row>15</xdr:row>
                    <xdr:rowOff>0</xdr:rowOff>
                  </from>
                  <to>
                    <xdr:col>4</xdr:col>
                    <xdr:colOff>590550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Check Box 49">
              <controlPr defaultSize="0" autoFill="0" autoLine="0" autoPict="0">
                <anchor moveWithCells="1">
                  <from>
                    <xdr:col>3</xdr:col>
                    <xdr:colOff>2714625</xdr:colOff>
                    <xdr:row>17</xdr:row>
                    <xdr:rowOff>9525</xdr:rowOff>
                  </from>
                  <to>
                    <xdr:col>4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Check Box 51">
              <controlPr defaultSize="0" autoFill="0" autoLine="0" autoPict="0">
                <anchor moveWithCells="1">
                  <from>
                    <xdr:col>3</xdr:col>
                    <xdr:colOff>2705100</xdr:colOff>
                    <xdr:row>19</xdr:row>
                    <xdr:rowOff>190500</xdr:rowOff>
                  </from>
                  <to>
                    <xdr:col>4</xdr:col>
                    <xdr:colOff>590550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Check Box 52">
              <controlPr defaultSize="0" autoFill="0" autoLine="0" autoPict="0">
                <anchor moveWithCells="1">
                  <from>
                    <xdr:col>3</xdr:col>
                    <xdr:colOff>2705100</xdr:colOff>
                    <xdr:row>20</xdr:row>
                    <xdr:rowOff>190500</xdr:rowOff>
                  </from>
                  <to>
                    <xdr:col>4</xdr:col>
                    <xdr:colOff>590550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Check Box 53">
              <controlPr defaultSize="0" autoFill="0" autoLine="0" autoPict="0">
                <anchor moveWithCells="1">
                  <from>
                    <xdr:col>3</xdr:col>
                    <xdr:colOff>2705100</xdr:colOff>
                    <xdr:row>21</xdr:row>
                    <xdr:rowOff>190500</xdr:rowOff>
                  </from>
                  <to>
                    <xdr:col>4</xdr:col>
                    <xdr:colOff>590550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Check Box 54">
              <controlPr defaultSize="0" autoFill="0" autoLine="0" autoPict="0">
                <anchor moveWithCells="1">
                  <from>
                    <xdr:col>3</xdr:col>
                    <xdr:colOff>2705100</xdr:colOff>
                    <xdr:row>22</xdr:row>
                    <xdr:rowOff>190500</xdr:rowOff>
                  </from>
                  <to>
                    <xdr:col>4</xdr:col>
                    <xdr:colOff>590550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Check Box 55">
              <controlPr defaultSize="0" autoFill="0" autoLine="0" autoPict="0">
                <anchor moveWithCells="1">
                  <from>
                    <xdr:col>3</xdr:col>
                    <xdr:colOff>2705100</xdr:colOff>
                    <xdr:row>24</xdr:row>
                    <xdr:rowOff>9525</xdr:rowOff>
                  </from>
                  <to>
                    <xdr:col>4</xdr:col>
                    <xdr:colOff>590550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6" name="Check Box 59">
              <controlPr defaultSize="0" autoFill="0" autoLine="0" autoPict="0" macro="[0]!F_AG29">
                <anchor moveWithCells="1">
                  <from>
                    <xdr:col>3</xdr:col>
                    <xdr:colOff>2705100</xdr:colOff>
                    <xdr:row>27</xdr:row>
                    <xdr:rowOff>190500</xdr:rowOff>
                  </from>
                  <to>
                    <xdr:col>4</xdr:col>
                    <xdr:colOff>590550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37" name="Check Box 60">
              <controlPr defaultSize="0" autoFill="0" autoLine="0" autoPict="0" macro="[0]!F_AG30">
                <anchor moveWithCells="1">
                  <from>
                    <xdr:col>3</xdr:col>
                    <xdr:colOff>2705100</xdr:colOff>
                    <xdr:row>28</xdr:row>
                    <xdr:rowOff>190500</xdr:rowOff>
                  </from>
                  <to>
                    <xdr:col>4</xdr:col>
                    <xdr:colOff>590550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38" name="Check Box 61">
              <controlPr defaultSize="0" autoFill="0" autoLine="0" autoPict="0" macro="[0]!F_AG31">
                <anchor moveWithCells="1">
                  <from>
                    <xdr:col>3</xdr:col>
                    <xdr:colOff>2705100</xdr:colOff>
                    <xdr:row>29</xdr:row>
                    <xdr:rowOff>190500</xdr:rowOff>
                  </from>
                  <to>
                    <xdr:col>4</xdr:col>
                    <xdr:colOff>590550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39" name="Check Box 62">
              <controlPr defaultSize="0" autoFill="0" autoLine="0" autoPict="0" macro="[0]!F_AG32">
                <anchor moveWithCells="1">
                  <from>
                    <xdr:col>3</xdr:col>
                    <xdr:colOff>2705100</xdr:colOff>
                    <xdr:row>31</xdr:row>
                    <xdr:rowOff>9525</xdr:rowOff>
                  </from>
                  <to>
                    <xdr:col>4</xdr:col>
                    <xdr:colOff>590550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672D1-EF0F-4B2B-9C6D-B648E7682BB3}">
  <sheetPr codeName="Hoja3"/>
  <dimension ref="A1:E7"/>
  <sheetViews>
    <sheetView workbookViewId="0">
      <selection activeCell="B3" sqref="B3"/>
    </sheetView>
  </sheetViews>
  <sheetFormatPr baseColWidth="10" defaultColWidth="9.140625" defaultRowHeight="15" x14ac:dyDescent="0.25"/>
  <cols>
    <col min="1" max="1" width="31.28515625" bestFit="1" customWidth="1"/>
    <col min="2" max="2" width="20" customWidth="1"/>
  </cols>
  <sheetData>
    <row r="1" spans="1:5" x14ac:dyDescent="0.25">
      <c r="A1" s="21" t="s">
        <v>78</v>
      </c>
    </row>
    <row r="2" spans="1:5" ht="15.75" thickBot="1" x14ac:dyDescent="0.3"/>
    <row r="3" spans="1:5" x14ac:dyDescent="0.25">
      <c r="A3" s="20" t="s">
        <v>77</v>
      </c>
      <c r="B3" s="19" t="s">
        <v>76</v>
      </c>
      <c r="D3" s="40" t="s">
        <v>75</v>
      </c>
      <c r="E3" s="28">
        <f>IF(B3="Excelente",1,IF(B3="Buena",0.85,IF(B3="Intermedia",0.65,IF(B3="Desconocido",0.5,0.3))))</f>
        <v>0.85</v>
      </c>
    </row>
    <row r="4" spans="1:5" x14ac:dyDescent="0.25">
      <c r="A4" s="18" t="s">
        <v>74</v>
      </c>
      <c r="B4" s="17" t="s">
        <v>73</v>
      </c>
      <c r="D4" s="39" t="s">
        <v>72</v>
      </c>
      <c r="E4" s="38">
        <f>IF(B4="Único oferente",1,IF(B4="Licitación privada",0.6,IF(B4="Licitación pública",0.35,0.2)))</f>
        <v>0.6</v>
      </c>
    </row>
    <row r="5" spans="1:5" ht="15.75" thickBot="1" x14ac:dyDescent="0.3">
      <c r="A5" s="16" t="s">
        <v>71</v>
      </c>
      <c r="B5" s="15" t="s">
        <v>70</v>
      </c>
      <c r="D5" s="37" t="s">
        <v>69</v>
      </c>
      <c r="E5" s="36">
        <f>IF(B5="Alta",1,IF(B5="Media",0.75,IF(B5="Baja",0.5,0.3)))</f>
        <v>1</v>
      </c>
    </row>
    <row r="6" spans="1:5" ht="15.75" thickBot="1" x14ac:dyDescent="0.3"/>
    <row r="7" spans="1:5" ht="15.75" thickBot="1" x14ac:dyDescent="0.3">
      <c r="D7" s="35" t="s">
        <v>68</v>
      </c>
      <c r="E7" s="34">
        <f>E3*E4*E5</f>
        <v>0.51</v>
      </c>
    </row>
  </sheetData>
  <dataValidations count="3">
    <dataValidation type="list" sqref="B5" xr:uid="{00000000-0002-0000-0200-000002000000}">
      <formula1>"Alta,Media,Baja,Nula"</formula1>
    </dataValidation>
    <dataValidation type="list" sqref="B4" xr:uid="{00000000-0002-0000-0200-000001000000}">
      <formula1>"Único oferente,Licitación privada,Licitación pública,Estudio de mercado"</formula1>
    </dataValidation>
    <dataValidation type="list" sqref="B3" xr:uid="{00000000-0002-0000-0200-000000000000}">
      <formula1>"Excelente,Buena,Intermedia,Desconocido,Mala"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1280-6B24-4E49-84B5-4F435859A693}">
  <sheetPr codeName="Hoja4"/>
  <dimension ref="A1:B7"/>
  <sheetViews>
    <sheetView workbookViewId="0">
      <selection activeCell="J31" sqref="J31"/>
    </sheetView>
  </sheetViews>
  <sheetFormatPr baseColWidth="10" defaultColWidth="9.140625" defaultRowHeight="15" x14ac:dyDescent="0.25"/>
  <cols>
    <col min="1" max="1" width="25.42578125" bestFit="1" customWidth="1"/>
  </cols>
  <sheetData>
    <row r="1" spans="1:2" x14ac:dyDescent="0.25">
      <c r="A1" s="21" t="s">
        <v>84</v>
      </c>
    </row>
    <row r="2" spans="1:2" ht="15.75" thickBot="1" x14ac:dyDescent="0.3"/>
    <row r="3" spans="1:2" x14ac:dyDescent="0.25">
      <c r="A3" s="46" t="s">
        <v>83</v>
      </c>
      <c r="B3" s="45">
        <v>1</v>
      </c>
    </row>
    <row r="4" spans="1:2" x14ac:dyDescent="0.25">
      <c r="A4" s="44" t="s">
        <v>82</v>
      </c>
      <c r="B4" s="43">
        <v>0.2</v>
      </c>
    </row>
    <row r="5" spans="1:2" x14ac:dyDescent="0.25">
      <c r="A5" s="44" t="s">
        <v>81</v>
      </c>
      <c r="B5" s="43">
        <v>0.08</v>
      </c>
    </row>
    <row r="6" spans="1:2" x14ac:dyDescent="0.25">
      <c r="A6" s="44" t="s">
        <v>80</v>
      </c>
      <c r="B6" s="43">
        <v>2000000</v>
      </c>
    </row>
    <row r="7" spans="1:2" ht="15.75" thickBot="1" x14ac:dyDescent="0.3">
      <c r="A7" s="42" t="s">
        <v>79</v>
      </c>
      <c r="B7" s="41">
        <v>160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DA9A7-FCBB-41B5-BB90-103A227AEFF8}">
  <sheetPr codeName="Hoja5"/>
  <dimension ref="A1:B15"/>
  <sheetViews>
    <sheetView zoomScale="130" zoomScaleNormal="130" workbookViewId="0">
      <selection activeCell="B14" sqref="B14"/>
    </sheetView>
  </sheetViews>
  <sheetFormatPr baseColWidth="10" defaultColWidth="9.140625" defaultRowHeight="15" x14ac:dyDescent="0.25"/>
  <cols>
    <col min="1" max="1" width="19.5703125" bestFit="1" customWidth="1"/>
    <col min="2" max="2" width="11.42578125" bestFit="1" customWidth="1"/>
  </cols>
  <sheetData>
    <row r="1" spans="1:2" x14ac:dyDescent="0.25">
      <c r="A1" s="21" t="s">
        <v>92</v>
      </c>
    </row>
    <row r="3" spans="1:2" x14ac:dyDescent="0.25">
      <c r="A3" s="21" t="s">
        <v>91</v>
      </c>
      <c r="B3">
        <f>PROBABILIDAD!E7</f>
        <v>0.51</v>
      </c>
    </row>
    <row r="4" spans="1:2" x14ac:dyDescent="0.25">
      <c r="A4" s="21" t="s">
        <v>90</v>
      </c>
      <c r="B4">
        <f>MIN(INPUT_PROYECTO!B5/PARAMETROS!B6,1)</f>
        <v>1</v>
      </c>
    </row>
    <row r="5" spans="1:2" x14ac:dyDescent="0.25">
      <c r="A5" s="21" t="s">
        <v>89</v>
      </c>
      <c r="B5">
        <f>IF(INPUT_PROYECTO!B7="",1,INPUT_PROYECTO!B7/INPUT_PROYECTO!B6)</f>
        <v>0.93333333333333335</v>
      </c>
    </row>
    <row r="6" spans="1:2" x14ac:dyDescent="0.25">
      <c r="A6" s="49" t="s">
        <v>88</v>
      </c>
      <c r="B6" s="48"/>
    </row>
    <row r="7" spans="1:2" x14ac:dyDescent="0.25">
      <c r="A7" s="21" t="s">
        <v>87</v>
      </c>
      <c r="B7">
        <f>IF(INPUT_PROYECTO!B8&lt;&gt;"",EXP(-PARAMETROS!B3*(INPUT_PROYECTO!B8/PARAMETROS!B7)),IF(INPUT_PROYECTO!B9="Baja",1,IF(INPUT_PROYECTO!B9="Media",0.75,IF(INPUT_PROYECTO!B9="Alta",0.45,0.2))))</f>
        <v>0.64564852642789206</v>
      </c>
    </row>
    <row r="9" spans="1:2" x14ac:dyDescent="0.25">
      <c r="A9" s="21" t="s">
        <v>86</v>
      </c>
      <c r="B9">
        <f>B3*B4*B5*B7</f>
        <v>0.30732869857967665</v>
      </c>
    </row>
    <row r="11" spans="1:2" x14ac:dyDescent="0.25">
      <c r="A11" s="21" t="s">
        <v>85</v>
      </c>
      <c r="B11" s="47" t="str">
        <f>IF(B9&gt;=PARAMETROS!B4,"BID",IF(B9&gt;=PARAMETROS!B5,"POSTERGAR","NO-BID"))</f>
        <v>BID</v>
      </c>
    </row>
    <row r="12" spans="1:2" x14ac:dyDescent="0.25">
      <c r="A12" t="s">
        <v>114</v>
      </c>
      <c r="B12">
        <f>IF(CT_CALCULO!D10&lt;0.2, 1,
IF(CT_CALCULO!D10&lt;0.4, 2,
IF(CT_CALCULO!D10&lt;0.6, 3,
IF(CT_CALCULO!D10&lt;0.8, 4,
5))))</f>
        <v>5</v>
      </c>
    </row>
    <row r="13" spans="1:2" x14ac:dyDescent="0.25">
      <c r="A13" s="21" t="s">
        <v>96</v>
      </c>
      <c r="B13">
        <f>VLOOKUP(B12, REFERENCIAS_CT!A2:D6, 4, FALSE)</f>
        <v>92</v>
      </c>
    </row>
    <row r="14" spans="1:2" x14ac:dyDescent="0.25">
      <c r="B14" t="str">
        <f>IF(INPUT_PROYECTO!B8="", "",
IF(INPUT_PROYECTO!B8 &gt; B13*1.3, "Sobreesfuerzo",
IF(INPUT_PROYECTO!B8 &lt; B13*0.7, "Subestimado",
"OK")))</f>
        <v>OK</v>
      </c>
    </row>
    <row r="15" spans="1:2" x14ac:dyDescent="0.25">
      <c r="A15" s="21" t="s">
        <v>97</v>
      </c>
      <c r="B15">
        <f>IF(B13=0, "", B9 / B13)</f>
        <v>3.3405293323877897E-3</v>
      </c>
    </row>
  </sheetData>
  <conditionalFormatting sqref="B11">
    <cfRule type="expression" dxfId="2" priority="1">
      <formula>$B$11="NO-BID"</formula>
    </cfRule>
    <cfRule type="expression" dxfId="1" priority="2">
      <formula>$B$11="POSTERGAR"</formula>
    </cfRule>
    <cfRule type="expression" dxfId="0" priority="3">
      <formula>$B$11="BID"</formula>
    </cfRule>
  </conditionalFormatting>
  <pageMargins left="0.75" right="0.75" top="1" bottom="1" header="0.5" footer="0.5"/>
  <cellWatches>
    <cellWatch r="B9"/>
    <cellWatch r="B12"/>
    <cellWatch r="B13"/>
    <cellWatch r="B15"/>
  </cellWatches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6C959-98AF-4BEC-B5EF-6FF94C361E00}">
  <dimension ref="A1"/>
  <sheetViews>
    <sheetView workbookViewId="0">
      <selection activeCell="K31" sqref="K31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Glosario</vt:lpstr>
      <vt:lpstr>REFERENCIAS_CT</vt:lpstr>
      <vt:lpstr>CT_CALCULO</vt:lpstr>
      <vt:lpstr>INPUT_PROYECTO</vt:lpstr>
      <vt:lpstr>CT_CHECKLIST</vt:lpstr>
      <vt:lpstr>PROBABILIDAD</vt:lpstr>
      <vt:lpstr>PARAMETROS</vt:lpstr>
      <vt:lpstr>CALCULO</vt:lpstr>
      <vt:lpstr>PORTAFOLIO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Figueroa</dc:creator>
  <cp:lastModifiedBy>Steve Figueroa</cp:lastModifiedBy>
  <dcterms:created xsi:type="dcterms:W3CDTF">2026-01-21T00:50:37Z</dcterms:created>
  <dcterms:modified xsi:type="dcterms:W3CDTF">2026-01-26T05:45:53Z</dcterms:modified>
</cp:coreProperties>
</file>